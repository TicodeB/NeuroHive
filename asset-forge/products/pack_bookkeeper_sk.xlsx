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na klienta" sheetId="5" state="visible" r:id="rId5"/>
    <sheet name="05 · Kapacita" sheetId="6" state="visible" r:id="rId6"/>
    <sheet name="06 · Tržby" sheetId="7" state="visible" r:id="rId7"/>
    <sheet name="07 · Školen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161A2B"/>
      <sz val="22"/>
    </font>
    <font>
      <name val="Calibri"/>
      <color rgb="006B7280"/>
      <sz val="11"/>
    </font>
    <font>
      <name val="Calibri"/>
      <b val="1"/>
      <color rgb="0034406B"/>
      <sz val="10.5"/>
    </font>
    <font>
      <name val="Calibri"/>
      <color rgb="006B7280"/>
      <sz val="10"/>
    </font>
    <font>
      <name val="Calibri"/>
      <color rgb="00161A2B"/>
      <sz val="10"/>
    </font>
    <font>
      <name val="Calibri"/>
      <i val="1"/>
      <color rgb="00161A2B"/>
      <sz val="9.5"/>
    </font>
    <font>
      <name val="Calibri"/>
      <i val="1"/>
      <color rgb="009AA3B0"/>
      <sz val="8"/>
    </font>
    <font>
      <name val="Calibri"/>
      <b val="1"/>
      <color rgb="00161A2B"/>
      <sz val="10"/>
    </font>
    <font>
      <name val="Calibri"/>
      <b val="1"/>
      <color rgb="0034406B"/>
      <sz val="11"/>
    </font>
    <font>
      <name val="Calibri"/>
      <b val="1"/>
      <color rgb="00FFFFFF"/>
      <sz val="10"/>
    </font>
    <font>
      <name val="Calibri"/>
      <color rgb="00161A2B"/>
      <sz val="9.5"/>
    </font>
    <font>
      <name val="Calibri"/>
      <b val="1"/>
      <color rgb="006B7280"/>
      <sz val="9.5"/>
    </font>
    <font>
      <name val="Calibri"/>
      <b val="1"/>
      <color rgb="0034406B"/>
      <sz val="9.5"/>
    </font>
    <font>
      <name val="Calibri"/>
      <b val="1"/>
      <color rgb="00161A2B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34406B"/>
      <sz val="20"/>
    </font>
    <font>
      <name val="Calibri"/>
      <b val="1"/>
      <color rgb="002E9E78"/>
      <sz val="20"/>
    </font>
    <font>
      <name val="Calibri"/>
      <b val="1"/>
      <color rgb="00161A2B"/>
      <sz val="20"/>
    </font>
    <font>
      <name val="Calibri"/>
      <color rgb="00161A2B"/>
      <sz val="10.5"/>
    </font>
  </fonts>
  <fills count="10">
    <fill>
      <patternFill/>
    </fill>
    <fill>
      <patternFill patternType="gray125"/>
    </fill>
    <fill>
      <patternFill patternType="solid">
        <fgColor rgb="002E9E78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34406B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161A2B"/>
      </patternFill>
    </fill>
  </fills>
  <borders count="13">
    <border>
      <left/>
      <right/>
      <top/>
      <bottom/>
      <diagonal/>
    </border>
    <border>
      <bottom style="thin">
        <color rgb="0034406B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2E9E78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8" fillId="8" borderId="9" applyAlignment="1" pivotButton="0" quotePrefix="0" xfId="0">
      <alignment horizontal="left" vertical="center" indent="1"/>
    </xf>
    <xf numFmtId="166" fontId="19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3" TargetMode="External" Id="rId1" /><Relationship Type="http://schemas.openxmlformats.org/officeDocument/2006/relationships/hyperlink" Target="#'03 &#183; Cash flow'!O18" TargetMode="External" Id="rId2" /><Relationship Type="http://schemas.openxmlformats.org/officeDocument/2006/relationships/hyperlink" Target="#'03 &#183; Cash flow'!O26" TargetMode="External" Id="rId3" /><Relationship Type="http://schemas.openxmlformats.org/officeDocument/2006/relationships/hyperlink" Target="#'03 &#183; Cash flow'!N29" TargetMode="External" Id="rId4" /><Relationship Type="http://schemas.openxmlformats.org/officeDocument/2006/relationships/hyperlink" Target="#'04 &#183; Mar&#382;a na klienta'!H30" TargetMode="External" Id="rId5" /><Relationship Type="http://schemas.openxmlformats.org/officeDocument/2006/relationships/hyperlink" Target="#'05 &#183; Kapacita'!I31" TargetMode="External" Id="rId6" /></Relationships>
</file>

<file path=xl/worksheets/sheet1.xml><?xml version="1.0" encoding="utf-8"?>
<worksheet xmlns="http://schemas.openxmlformats.org/spreadsheetml/2006/main">
  <sheetPr>
    <tabColor rgb="00161A2B"/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Účtovníctvo / účtovná kancelária</t>
        </is>
      </c>
    </row>
    <row r="2" ht="20" customHeight="1">
      <c r="B2" s="2" t="inlineStr">
        <is>
          <t>Balík, ktorý ustráži vyťaženosť, maržu na klienta a cash flow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na klienta</t>
        </is>
      </c>
      <c r="C7" s="7" t="inlineStr">
        <is>
          <t>Náklad času na službu a marža na klienta</t>
        </is>
      </c>
    </row>
    <row r="8" ht="20" customHeight="1">
      <c r="B8" s="6" t="inlineStr">
        <is>
          <t xml:space="preserve">  Kapacita</t>
        </is>
      </c>
      <c r="C8" s="7" t="inlineStr">
        <is>
          <t>Vyťaženosť a podiel mzdových nákladov</t>
        </is>
      </c>
    </row>
    <row r="9" ht="20" customHeight="1">
      <c r="B9" s="6" t="inlineStr">
        <is>
          <t xml:space="preserve">  Tržby</t>
        </is>
      </c>
      <c r="C9" s="7" t="inlineStr">
        <is>
          <t>Vystavené faktúry a úhrady</t>
        </is>
      </c>
    </row>
    <row r="10" ht="20" customHeight="1">
      <c r="B10" s="6" t="inlineStr">
        <is>
          <t xml:space="preserve">  Školenia</t>
        </is>
      </c>
      <c r="C10" s="7" t="inlineStr">
        <is>
          <t>Matica školení — dôkaz pred zmenou</t>
        </is>
      </c>
    </row>
    <row r="11"/>
    <row r="12" ht="24" customHeight="1">
      <c r="B12" s="4" t="inlineStr">
        <is>
          <t>METÓDA — AKO TO POUŽÍVAŤ</t>
        </is>
      </c>
      <c r="C12" s="5" t="n"/>
      <c r="D12" s="5" t="n"/>
      <c r="E12" s="5" t="n"/>
      <c r="F12" s="5" t="n"/>
      <c r="G12" s="5" t="n"/>
      <c r="H12" s="5" t="n"/>
      <c r="I12" s="5" t="n"/>
    </row>
    <row r="13" ht="22" customHeight="1">
      <c r="B13" s="8" t="inlineStr">
        <is>
          <t>•  RÁNO: 3 priority + termíny a podania (DPH, dane, mzdy)</t>
        </is>
      </c>
    </row>
    <row r="14" ht="22" customHeight="1">
      <c r="B14" s="8" t="inlineStr">
        <is>
          <t>•  POČAS DŇA: spracovanie dokladov a evidencia hodín</t>
        </is>
      </c>
    </row>
    <row r="15" ht="22" customHeight="1">
      <c r="B15" s="8" t="inlineStr">
        <is>
          <t>•  VEČER: fakturácia a stav rozpracovanosti</t>
        </is>
      </c>
    </row>
    <row r="16" ht="22" customHeight="1">
      <c r="B16" s="8" t="inlineStr">
        <is>
          <t>•  TÝŽDENNE: vyťaženosť + marža na klienta</t>
        </is>
      </c>
    </row>
    <row r="17" ht="22" customHeight="1">
      <c r="B17" s="8" t="inlineStr">
        <is>
          <t>•  MESAČNE: cash flow + prehľad</t>
        </is>
      </c>
    </row>
    <row r="18"/>
    <row r="19" ht="24" customHeight="1">
      <c r="B19" s="4" t="inlineStr">
        <is>
          <t>FARBY</t>
        </is>
      </c>
      <c r="C19" s="5" t="n"/>
      <c r="D19" s="5" t="n"/>
      <c r="E19" s="5" t="n"/>
      <c r="F19" s="5" t="n"/>
      <c r="G19" s="5" t="n"/>
      <c r="H19" s="5" t="n"/>
      <c r="I19" s="5" t="n"/>
    </row>
    <row r="20" ht="30" customHeight="1">
      <c r="B20" s="9" t="inlineStr">
        <is>
          <t xml:space="preserve">  Oranžová = vyplníte vy   ·   Modrá = vypočíta sa automaticky   ·   Biela/sivá = záznamy</t>
        </is>
      </c>
    </row>
    <row r="21"/>
    <row r="22" ht="22" customHeight="1">
      <c r="B22" s="10" t="inlineStr">
        <is>
          <t>ASSET-FORGE · v1.0 · 31/05/2026 · EU (Írsko) · Šablóna — nie je finančné ani právne poradenstvo.</t>
        </is>
      </c>
    </row>
  </sheetData>
  <mergeCells count="17">
    <mergeCell ref="B12:I12"/>
    <mergeCell ref="C8:G8"/>
    <mergeCell ref="B16:G16"/>
    <mergeCell ref="C7:G7"/>
    <mergeCell ref="B22:K22"/>
    <mergeCell ref="C6:G6"/>
    <mergeCell ref="C10:G10"/>
    <mergeCell ref="B14:G14"/>
    <mergeCell ref="B2:I2"/>
    <mergeCell ref="B17:G17"/>
    <mergeCell ref="B20:I20"/>
    <mergeCell ref="B5:I5"/>
    <mergeCell ref="B19:I19"/>
    <mergeCell ref="B13:G13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9E78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termíny podaní na dnes skontrolované (DPH, mzdy)</t>
        </is>
      </c>
      <c r="C33" s="21" t="n"/>
      <c r="D33" s="21" t="n"/>
      <c r="E33" s="18" t="n"/>
    </row>
    <row r="34" ht="19" customHeight="1">
      <c r="B34" s="22" t="inlineStr">
        <is>
          <t xml:space="preserve">  Otvorenie: prijaté doklady zaevidované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odpracované hodiny zapísané</t>
        </is>
      </c>
      <c r="C35" s="21" t="n"/>
      <c r="D35" s="21" t="n"/>
      <c r="E35" s="18" t="n"/>
    </row>
    <row r="36" ht="19" customHeight="1">
      <c r="B36" s="22" t="inlineStr">
        <is>
          <t xml:space="preserve">  Zatvorenie: vystavené faktúry zapísané</t>
        </is>
      </c>
      <c r="C36" s="21" t="n"/>
      <c r="D36" s="21" t="n"/>
      <c r="E36" s="18" t="n"/>
    </row>
    <row r="37" ht="19" customHeight="1">
      <c r="B37" s="20" t="inlineStr">
        <is>
          <t xml:space="preserve">  Zatvorenie: zálohovanie údajov a GDPR zabezpečené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406B"/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flow'!O13,0)</f>
        <v/>
      </c>
      <c r="D7" s="29" t="n"/>
      <c r="F7" s="31">
        <f>IFERROR('03 · Cash flow'!O18,0)</f>
        <v/>
      </c>
      <c r="H7" s="29" t="n"/>
      <c r="J7" s="32">
        <f>IFERROR('03 · Cash flow'!O26,0)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KONCOVÁ HOTOVOSŤ  ↗</t>
        </is>
      </c>
      <c r="D11" s="29" t="n"/>
      <c r="F11" s="28" t="inlineStr">
        <is>
          <t>PRIEMERNÁ MARŽA NA KLIENTA  ↗</t>
        </is>
      </c>
      <c r="H11" s="29" t="n"/>
      <c r="J11" s="28" t="inlineStr">
        <is>
          <t>PODIEL MIEZD  ↗</t>
        </is>
      </c>
      <c r="L11" s="29" t="n"/>
    </row>
    <row r="12" ht="22" customHeight="1">
      <c r="B12" s="30">
        <f>IFERROR('03 · Cash flow'!N29,0)</f>
        <v/>
      </c>
      <c r="D12" s="29" t="n"/>
      <c r="F12" s="36">
        <f>IFERROR('04 · Marža na klienta'!H30,0)</f>
        <v/>
      </c>
      <c r="H12" s="29" t="n"/>
      <c r="J12" s="37">
        <f>IFERROR('05 · Kapacita'!I31,0)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24" customHeight="1">
      <c r="B15" s="4" t="inlineStr">
        <is>
          <t>POSTREHY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 ht="24" customHeight="1">
      <c r="B16" s="38">
        <f>IFERROR(IF('03 · Cash flow'!P13="","Tržby vs plán: zadajte ročný plán v hárku Cash flow.","Tržby vs plán: "&amp;TEXT('03 · Cash flow'!Q13,"#,##0 €")&amp;" ("&amp;TEXT('03 · Cash flow'!R13,"+0.0%;-0.0%")&amp;") — "&amp;IF('03 · Cash flow'!R13&gt;=0,"NAD plánom.","POD plánom, preverte hlavný zdroj tržieb.")),"Tržby vs plán: zatiaľ bez dát.")</f>
        <v/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 ht="24" customHeight="1">
      <c r="B17" s="39">
        <f>IFERROR("Čistá marža: "&amp;TEXT('03 · Cash flow'!O26/'03 · Cash flow'!O13,"0.0%")&amp;IF('03 · Cash flow'!O26/'03 · Cash flow'!O13&gt;=0.1," — zdravé."," — pozor, je nízka."),"Čistá marža: zatiaľ bez dát.")</f>
        <v/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24" customHeight="1">
      <c r="B18" s="38">
        <f>IFERROR("Podiel miezd: "&amp;TEXT('05 · Kapacita'!I31,"0.0%")&amp;IF('05 · Kapacita'!I31&gt;0.35," — NAD cieľom 35 %."," — v poriadku."),"Podiel miezd: zatiaľ bez dát.")</f>
        <v/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</row>
    <row r="19" ht="24" customHeight="1">
      <c r="B19" s="39">
        <f>IFERROR("Položky pod cieľovou maržou: "&amp;TEXT('04 · Marža na klienta'!H31,"0")&amp;".","Marža: zatiaľ bez dát.")</f>
        <v/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 ht="24" customHeight="1">
      <c r="B20" s="38">
        <f>IFERROR("Rozdiel v pokladni (rok): "&amp;TEXT('06 · Tržby'!H40,"#,##0.00 €")&amp;IF(ABS('06 · Tržby'!H40)&gt;1," — preverte."," — sedí."),"Pokladňa: zatiaľ bez dát.")</f>
        <v/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/>
    <row r="22" ht="30" customHeight="1">
      <c r="B22" s="9" t="inlineStr">
        <is>
          <t xml:space="preserve">  Tieto čísla sa aktualizujú automaticky, keď vyplníte ostatné hárky.</t>
        </is>
      </c>
    </row>
  </sheetData>
  <mergeCells count="27">
    <mergeCell ref="B11:D11"/>
    <mergeCell ref="J6:L6"/>
    <mergeCell ref="F5:H5"/>
    <mergeCell ref="B16:L16"/>
    <mergeCell ref="B22:L22"/>
    <mergeCell ref="B7:D8"/>
    <mergeCell ref="B18:L18"/>
    <mergeCell ref="J11:L11"/>
    <mergeCell ref="B10:D10"/>
    <mergeCell ref="F7:H8"/>
    <mergeCell ref="B2:L2"/>
    <mergeCell ref="B12:D13"/>
    <mergeCell ref="F12:H13"/>
    <mergeCell ref="B6:D6"/>
    <mergeCell ref="B17:L17"/>
    <mergeCell ref="B1:L1"/>
    <mergeCell ref="B5:D5"/>
    <mergeCell ref="B19:L19"/>
    <mergeCell ref="F11:H11"/>
    <mergeCell ref="J5:L5"/>
    <mergeCell ref="F10:H10"/>
    <mergeCell ref="J7:L8"/>
    <mergeCell ref="F6:H6"/>
    <mergeCell ref="J10:L10"/>
    <mergeCell ref="B15:L15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J12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4406B"/>
    <outlinePr summaryBelow="1" summaryRight="1"/>
    <pageSetUpPr/>
  </sheetPr>
  <dimension ref="A1:R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4.7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vedenie účtovníctva (paušál)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mzdy a personalistika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dane a poradenstvo (ročné)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45" t="inlineStr">
        <is>
          <t>Tržby spolu</t>
        </is>
      </c>
      <c r="C13" s="43">
        <f>SUM(C10:C12)</f>
        <v/>
      </c>
      <c r="D13" s="43">
        <f>SUM(D10:D12)</f>
        <v/>
      </c>
      <c r="E13" s="43">
        <f>SUM(E10:E12)</f>
        <v/>
      </c>
      <c r="F13" s="43">
        <f>SUM(F10:F12)</f>
        <v/>
      </c>
      <c r="G13" s="43">
        <f>SUM(G10:G12)</f>
        <v/>
      </c>
      <c r="H13" s="43">
        <f>SUM(H10:H12)</f>
        <v/>
      </c>
      <c r="I13" s="43">
        <f>SUM(I10:I12)</f>
        <v/>
      </c>
      <c r="J13" s="43">
        <f>SUM(J10:J12)</f>
        <v/>
      </c>
      <c r="K13" s="43">
        <f>SUM(K10:K12)</f>
        <v/>
      </c>
      <c r="L13" s="43">
        <f>SUM(L10:L12)</f>
        <v/>
      </c>
      <c r="M13" s="43">
        <f>SUM(M10:M12)</f>
        <v/>
      </c>
      <c r="N13" s="43">
        <f>SUM(N10:N12)</f>
        <v/>
      </c>
      <c r="O13" s="42">
        <f>SUM(C13:N13)</f>
        <v/>
      </c>
      <c r="P13" s="42">
        <f>SUM(P10:P12)</f>
        <v/>
      </c>
      <c r="Q13" s="42">
        <f>IF(OR(O13="",P13=""),"",O13-P13)</f>
        <v/>
      </c>
      <c r="R13" s="46">
        <f>IF(OR(P13="",P13=0,O13=""),"",(O13-P13)/P13)</f>
        <v/>
      </c>
    </row>
    <row r="14" ht="18" customHeight="1">
      <c r="B14" s="40" t="inlineStr">
        <is>
          <t>NÁKLADY NA PREDAJ</t>
        </is>
      </c>
    </row>
    <row r="15" ht="16" customHeight="1">
      <c r="B15" s="20" t="inlineStr">
        <is>
          <t>Účtovný softvér a licencie</t>
        </is>
      </c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>
        <f>SUM(C15:N15)</f>
        <v/>
      </c>
      <c r="P15" s="41" t="n"/>
      <c r="Q15" s="43">
        <f>IF(OR(O15="",P15=""),"",O15-P15)</f>
        <v/>
      </c>
      <c r="R15" s="44">
        <f>IF(OR(P15="",P15=0,O15=""),"",(O15-P15)/P15)</f>
        <v/>
      </c>
    </row>
    <row r="16" ht="16" customHeight="1">
      <c r="B16" s="20" t="inlineStr">
        <is>
          <t>Subdodávky (audit, právne)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45" t="inlineStr">
        <is>
          <t>Náklady spolu</t>
        </is>
      </c>
      <c r="C17" s="43">
        <f>SUM(C15:C16)</f>
        <v/>
      </c>
      <c r="D17" s="43">
        <f>SUM(D15:D16)</f>
        <v/>
      </c>
      <c r="E17" s="43">
        <f>SUM(E15:E16)</f>
        <v/>
      </c>
      <c r="F17" s="43">
        <f>SUM(F15:F16)</f>
        <v/>
      </c>
      <c r="G17" s="43">
        <f>SUM(G15:G16)</f>
        <v/>
      </c>
      <c r="H17" s="43">
        <f>SUM(H15:H16)</f>
        <v/>
      </c>
      <c r="I17" s="43">
        <f>SUM(I15:I16)</f>
        <v/>
      </c>
      <c r="J17" s="43">
        <f>SUM(J15:J16)</f>
        <v/>
      </c>
      <c r="K17" s="43">
        <f>SUM(K15:K16)</f>
        <v/>
      </c>
      <c r="L17" s="43">
        <f>SUM(L15:L16)</f>
        <v/>
      </c>
      <c r="M17" s="43">
        <f>SUM(M15:M16)</f>
        <v/>
      </c>
      <c r="N17" s="43">
        <f>SUM(N15:N16)</f>
        <v/>
      </c>
      <c r="O17" s="42">
        <f>SUM(C17:N17)</f>
        <v/>
      </c>
      <c r="P17" s="42">
        <f>SUM(P15:P16)</f>
        <v/>
      </c>
      <c r="Q17" s="42">
        <f>IF(OR(O17="",P17=""),"",O17-P17)</f>
        <v/>
      </c>
      <c r="R17" s="46">
        <f>IF(OR(P17="",P17=0,O17=""),"",(O17-P17)/P17)</f>
        <v/>
      </c>
    </row>
    <row r="18" ht="16" customHeight="1">
      <c r="B18" s="45" t="inlineStr">
        <is>
          <t>HRUBÁ MARŽA</t>
        </is>
      </c>
      <c r="C18" s="43">
        <f>C13-C17</f>
        <v/>
      </c>
      <c r="D18" s="43">
        <f>D13-D17</f>
        <v/>
      </c>
      <c r="E18" s="43">
        <f>E13-E17</f>
        <v/>
      </c>
      <c r="F18" s="43">
        <f>F13-F17</f>
        <v/>
      </c>
      <c r="G18" s="43">
        <f>G13-G17</f>
        <v/>
      </c>
      <c r="H18" s="43">
        <f>H13-H17</f>
        <v/>
      </c>
      <c r="I18" s="43">
        <f>I13-I17</f>
        <v/>
      </c>
      <c r="J18" s="43">
        <f>J13-J17</f>
        <v/>
      </c>
      <c r="K18" s="43">
        <f>K13-K17</f>
        <v/>
      </c>
      <c r="L18" s="43">
        <f>L13-L17</f>
        <v/>
      </c>
      <c r="M18" s="43">
        <f>M13-M17</f>
        <v/>
      </c>
      <c r="N18" s="43">
        <f>N13-N17</f>
        <v/>
      </c>
      <c r="O18" s="42">
        <f>SUM(C18:N18)</f>
        <v/>
      </c>
      <c r="P18" s="42">
        <f>P13-P17</f>
        <v/>
      </c>
      <c r="Q18" s="42">
        <f>IF(OR(O18="",P18=""),"",O18-P18)</f>
        <v/>
      </c>
      <c r="R18" s="46">
        <f>IF(OR(P18="",P18=0,O18=""),"",(O18-P18)/P18)</f>
        <v/>
      </c>
    </row>
    <row r="19" ht="18" customHeight="1">
      <c r="B19" s="40" t="inlineStr">
        <is>
          <t>RÉŽIE</t>
        </is>
      </c>
    </row>
    <row r="20" ht="16" customHeight="1">
      <c r="B20" s="20" t="inlineStr">
        <is>
          <t>Mzdy a personál</t>
        </is>
      </c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>
        <f>SUM(C20:N20)</f>
        <v/>
      </c>
      <c r="P20" s="41" t="n"/>
      <c r="Q20" s="43">
        <f>IF(OR(O20="",P20=""),"",O20-P20)</f>
        <v/>
      </c>
      <c r="R20" s="44">
        <f>IF(OR(P20="",P20=0,O20=""),"",(O20-P20)/P20)</f>
        <v/>
      </c>
    </row>
    <row r="21" ht="16" customHeight="1">
      <c r="B21" s="20" t="inlineStr">
        <is>
          <t>Nájom a poplatky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Energie a internet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Marketing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Ostatné réžie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45" t="inlineStr">
        <is>
          <t>Réžie spolu</t>
        </is>
      </c>
      <c r="C25" s="43">
        <f>SUM(C20:C24)</f>
        <v/>
      </c>
      <c r="D25" s="43">
        <f>SUM(D20:D24)</f>
        <v/>
      </c>
      <c r="E25" s="43">
        <f>SUM(E20:E24)</f>
        <v/>
      </c>
      <c r="F25" s="43">
        <f>SUM(F20:F24)</f>
        <v/>
      </c>
      <c r="G25" s="43">
        <f>SUM(G20:G24)</f>
        <v/>
      </c>
      <c r="H25" s="43">
        <f>SUM(H20:H24)</f>
        <v/>
      </c>
      <c r="I25" s="43">
        <f>SUM(I20:I24)</f>
        <v/>
      </c>
      <c r="J25" s="43">
        <f>SUM(J20:J24)</f>
        <v/>
      </c>
      <c r="K25" s="43">
        <f>SUM(K20:K24)</f>
        <v/>
      </c>
      <c r="L25" s="43">
        <f>SUM(L20:L24)</f>
        <v/>
      </c>
      <c r="M25" s="43">
        <f>SUM(M20:M24)</f>
        <v/>
      </c>
      <c r="N25" s="43">
        <f>SUM(N20:N24)</f>
        <v/>
      </c>
      <c r="O25" s="42">
        <f>SUM(C25:N25)</f>
        <v/>
      </c>
      <c r="P25" s="42">
        <f>SUM(P20:P24)</f>
        <v/>
      </c>
      <c r="Q25" s="42">
        <f>IF(OR(O25="",P25=""),"",O25-P25)</f>
        <v/>
      </c>
      <c r="R25" s="46">
        <f>IF(OR(P25="",P25=0,O25=""),"",(O25-P25)/P25)</f>
        <v/>
      </c>
    </row>
    <row r="26" ht="16" customHeight="1">
      <c r="B26" s="45" t="inlineStr">
        <is>
          <t>ČISTÝ ZISK</t>
        </is>
      </c>
      <c r="C26" s="43">
        <f>C18-C25</f>
        <v/>
      </c>
      <c r="D26" s="43">
        <f>D18-D25</f>
        <v/>
      </c>
      <c r="E26" s="43">
        <f>E18-E25</f>
        <v/>
      </c>
      <c r="F26" s="43">
        <f>F18-F25</f>
        <v/>
      </c>
      <c r="G26" s="43">
        <f>G18-G25</f>
        <v/>
      </c>
      <c r="H26" s="43">
        <f>H18-H25</f>
        <v/>
      </c>
      <c r="I26" s="43">
        <f>I18-I25</f>
        <v/>
      </c>
      <c r="J26" s="43">
        <f>J18-J25</f>
        <v/>
      </c>
      <c r="K26" s="43">
        <f>K18-K25</f>
        <v/>
      </c>
      <c r="L26" s="43">
        <f>L18-L25</f>
        <v/>
      </c>
      <c r="M26" s="43">
        <f>M18-M25</f>
        <v/>
      </c>
      <c r="N26" s="43">
        <f>N18-N25</f>
        <v/>
      </c>
      <c r="O26" s="42">
        <f>SUM(C26:N26)</f>
        <v/>
      </c>
      <c r="P26" s="42">
        <f>P18-P25</f>
        <v/>
      </c>
      <c r="Q26" s="42">
        <f>IF(OR(O26="",P26=""),"",O26-P26)</f>
        <v/>
      </c>
      <c r="R26" s="46">
        <f>IF(OR(P26="",P26=0,O26=""),"",(O26-P26)/P26)</f>
        <v/>
      </c>
    </row>
    <row r="27" ht="18" customHeight="1">
      <c r="B27" s="40" t="inlineStr">
        <is>
          <t>HOTOVOSŤ</t>
        </is>
      </c>
    </row>
    <row r="28">
      <c r="B28" s="20" t="inlineStr">
        <is>
          <t>Počiatočná hotovosť</t>
        </is>
      </c>
      <c r="C28" s="41" t="n"/>
      <c r="D28" s="43">
        <f>C29</f>
        <v/>
      </c>
      <c r="E28" s="43">
        <f>D29</f>
        <v/>
      </c>
      <c r="F28" s="43">
        <f>E29</f>
        <v/>
      </c>
      <c r="G28" s="43">
        <f>F29</f>
        <v/>
      </c>
      <c r="H28" s="43">
        <f>G29</f>
        <v/>
      </c>
      <c r="I28" s="43">
        <f>H29</f>
        <v/>
      </c>
      <c r="J28" s="43">
        <f>I29</f>
        <v/>
      </c>
      <c r="K28" s="43">
        <f>J29</f>
        <v/>
      </c>
      <c r="L28" s="43">
        <f>K29</f>
        <v/>
      </c>
      <c r="M28" s="43">
        <f>L29</f>
        <v/>
      </c>
      <c r="N28" s="43">
        <f>M29</f>
        <v/>
      </c>
      <c r="O28" s="43">
        <f>C28</f>
        <v/>
      </c>
    </row>
    <row r="29">
      <c r="B29" s="45" t="inlineStr">
        <is>
          <t>Koncová hotovosť</t>
        </is>
      </c>
      <c r="C29" s="42">
        <f>C28+C26</f>
        <v/>
      </c>
      <c r="D29" s="42">
        <f>D28+D26</f>
        <v/>
      </c>
      <c r="E29" s="42">
        <f>E28+E26</f>
        <v/>
      </c>
      <c r="F29" s="42">
        <f>F28+F26</f>
        <v/>
      </c>
      <c r="G29" s="42">
        <f>G28+G26</f>
        <v/>
      </c>
      <c r="H29" s="42">
        <f>H28+H26</f>
        <v/>
      </c>
      <c r="I29" s="42">
        <f>I28+I26</f>
        <v/>
      </c>
      <c r="J29" s="42">
        <f>J28+J26</f>
        <v/>
      </c>
      <c r="K29" s="42">
        <f>K28+K26</f>
        <v/>
      </c>
      <c r="L29" s="42">
        <f>L28+L26</f>
        <v/>
      </c>
      <c r="M29" s="42">
        <f>M28+M26</f>
        <v/>
      </c>
      <c r="N29" s="42">
        <f>N28+N26</f>
        <v/>
      </c>
      <c r="O29" s="42">
        <f>N29</f>
        <v/>
      </c>
    </row>
  </sheetData>
  <mergeCells count="8">
    <mergeCell ref="B14:R14"/>
    <mergeCell ref="B9:R9"/>
    <mergeCell ref="B27:R27"/>
    <mergeCell ref="C5:E5"/>
    <mergeCell ref="B7:R7"/>
    <mergeCell ref="B2:R2"/>
    <mergeCell ref="B19:R19"/>
    <mergeCell ref="B1:R1"/>
  </mergeCells>
  <conditionalFormatting sqref="Q13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8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6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29:N29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9E78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2.9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na klienta</t>
        </is>
      </c>
    </row>
    <row r="2" ht="20" customHeight="1">
      <c r="B2" s="2" t="inlineStr">
        <is>
          <t>Náklad času na službu a marža na klienta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Klient / služba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Jednoduché účtovníctvo (mesačne)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Podvojné účtovníctvo (mesačne)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Spracovanie miezd (zamestnanec)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Daňové priznanie (ročné)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Poradenstvo (hodina)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n"/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9E78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Kapacita</t>
        </is>
      </c>
    </row>
    <row r="2" ht="20" customHeight="1">
      <c r="B2" s="2" t="inlineStr">
        <is>
          <t>Vyťaženosť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~45 % tržieb.</t>
        </is>
      </c>
    </row>
    <row r="9" ht="30" customHeight="1">
      <c r="B9" s="15" t="inlineStr">
        <is>
          <t>Pozícia (účtovník / asistent)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0.45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4406B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Vystavené faktúry a úhrady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Vystavené faktúry · paušály · prevody · hotovosť.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61A2B"/>
    <outlinePr summaryBelow="1" summaryRight="1"/>
    <pageSetUpPr/>
  </sheetPr>
  <dimension ref="A1:J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.2" customWidth="1" min="7" max="7"/>
    <col width="14.2" customWidth="1" min="8" max="8"/>
    <col width="13" customWidth="1" min="9" max="9"/>
    <col width="14" customWidth="1" min="10" max="10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GDPR / ochrana osobných údajov</t>
        </is>
      </c>
      <c r="F7" s="15" t="inlineStr">
        <is>
          <t>AML / ochrana pred praním špinavých peňazí</t>
        </is>
      </c>
      <c r="G7" s="15" t="inlineStr">
        <is>
          <t>Legislatíva a zmeny (dane, mzdy)</t>
        </is>
      </c>
      <c r="H7" s="15" t="inlineStr">
        <is>
          <t>Kybernetická bezpečnosť a zálohovanie</t>
        </is>
      </c>
      <c r="I7" s="15" t="inlineStr">
        <is>
          <t>BOZP / prvá pomoc</t>
        </is>
      </c>
      <c r="J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25:J25"/>
    <mergeCell ref="C5:E5"/>
    <mergeCell ref="B1:J1"/>
    <mergeCell ref="B6:J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Účtovníctvo / účtovná kancelária (SK)</dc:title>
  <dcterms:created xsi:type="dcterms:W3CDTF">2026-05-31T14:41:32Z</dcterms:created>
  <dcterms:modified xsi:type="dcterms:W3CDTF">2026-05-31T14:41:32Z</dcterms:modified>
</cp:coreProperties>
</file>