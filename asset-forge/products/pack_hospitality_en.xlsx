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hod" sheetId="1" state="visible" r:id="rId1"/>
    <sheet name="01 · Day plan" sheetId="2" state="visible" r:id="rId2"/>
    <sheet name="02 · Overview" sheetId="3" state="visible" r:id="rId3"/>
    <sheet name="03 · Cash flow" sheetId="4" state="visible" r:id="rId4"/>
    <sheet name="04 · Margin" sheetId="5" state="visible" r:id="rId5"/>
    <sheet name="05 · Stock" sheetId="6" state="visible" r:id="rId6"/>
    <sheet name="06 · Rota" sheetId="7" state="visible" r:id="rId7"/>
    <sheet name="07 · Takings" sheetId="8" state="visible" r:id="rId8"/>
    <sheet name="08 · Train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1A2B45"/>
      <sz val="22"/>
    </font>
    <font>
      <name val="Calibri"/>
      <color rgb="006B7280"/>
      <sz val="11"/>
    </font>
    <font>
      <name val="Calibri"/>
      <b val="1"/>
      <color rgb="002D6CDF"/>
      <sz val="10.5"/>
    </font>
    <font>
      <name val="Calibri"/>
      <color rgb="006B7280"/>
      <sz val="10"/>
    </font>
    <font>
      <name val="Calibri"/>
      <color rgb="001A2B45"/>
      <sz val="10"/>
    </font>
    <font>
      <name val="Calibri"/>
      <i val="1"/>
      <color rgb="001A2B45"/>
      <sz val="9.5"/>
    </font>
    <font>
      <name val="Calibri"/>
      <i val="1"/>
      <color rgb="009AA3B0"/>
      <sz val="8"/>
    </font>
    <font>
      <name val="Calibri"/>
      <b val="1"/>
      <color rgb="001A2B45"/>
      <sz val="10"/>
    </font>
    <font>
      <name val="Calibri"/>
      <b val="1"/>
      <color rgb="002D6CDF"/>
      <sz val="11"/>
    </font>
    <font>
      <name val="Calibri"/>
      <b val="1"/>
      <color rgb="00FFFFFF"/>
      <sz val="10"/>
    </font>
    <font>
      <name val="Calibri"/>
      <color rgb="001A2B45"/>
      <sz val="9.5"/>
    </font>
    <font>
      <name val="Calibri"/>
      <b val="1"/>
      <color rgb="006B7280"/>
      <sz val="9.5"/>
    </font>
    <font>
      <name val="Calibri"/>
      <b val="1"/>
      <color rgb="002D6CDF"/>
      <sz val="9.5"/>
    </font>
    <font>
      <name val="Calibri"/>
      <b val="1"/>
      <color rgb="001A2B45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2D6CDF"/>
      <sz val="20"/>
    </font>
    <font>
      <name val="Calibri"/>
      <b val="1"/>
      <color rgb="0015A38C"/>
      <sz val="20"/>
    </font>
    <font>
      <name val="Calibri"/>
      <b val="1"/>
      <color rgb="001A2B45"/>
      <sz val="20"/>
    </font>
    <font>
      <name val="Calibri"/>
      <color rgb="001A2B45"/>
      <sz val="10.5"/>
    </font>
  </fonts>
  <fills count="10">
    <fill>
      <patternFill/>
    </fill>
    <fill>
      <patternFill patternType="gray125"/>
    </fill>
    <fill>
      <patternFill patternType="solid">
        <fgColor rgb="0015A38C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2D6CDF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1A2B45"/>
      </patternFill>
    </fill>
  </fills>
  <borders count="13">
    <border>
      <left/>
      <right/>
      <top/>
      <bottom/>
      <diagonal/>
    </border>
    <border>
      <bottom style="thin">
        <color rgb="002D6CDF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15A38C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9" fillId="8" borderId="9" applyAlignment="1" pivotButton="0" quotePrefix="0" xfId="0">
      <alignment horizontal="left" vertical="center" indent="1"/>
    </xf>
    <xf numFmtId="166" fontId="17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165" fontId="11" fillId="3" borderId="4" pivotButton="0" quotePrefix="0" xfId="0"/>
    <xf numFmtId="166" fontId="11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6" fontId="14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3 &#183; Cash flow'!O13" TargetMode="External" Id="rId1" /><Relationship Type="http://schemas.openxmlformats.org/officeDocument/2006/relationships/hyperlink" Target="#'03 &#183; Cash flow'!O18" TargetMode="External" Id="rId2" /><Relationship Type="http://schemas.openxmlformats.org/officeDocument/2006/relationships/hyperlink" Target="#'03 &#183; Cash flow'!O26" TargetMode="External" Id="rId3" /><Relationship Type="http://schemas.openxmlformats.org/officeDocument/2006/relationships/hyperlink" Target="#'03 &#183; Cash flow'!Q13" TargetMode="External" Id="rId4" /><Relationship Type="http://schemas.openxmlformats.org/officeDocument/2006/relationships/hyperlink" Target="#'03 &#183; Cash flow'!N29" TargetMode="External" Id="rId5" /><Relationship Type="http://schemas.openxmlformats.org/officeDocument/2006/relationships/hyperlink" Target="#'04 &#183; Margin'!H30" TargetMode="External" Id="rId6" /><Relationship Type="http://schemas.openxmlformats.org/officeDocument/2006/relationships/hyperlink" Target="#'06 &#183; Rota'!I31" TargetMode="External" Id="rId7" /></Relationships>
</file>

<file path=xl/worksheets/sheet1.xml><?xml version="1.0" encoding="utf-8"?>
<worksheet xmlns="http://schemas.openxmlformats.org/spreadsheetml/2006/main">
  <sheetPr>
    <tabColor rgb="001A2B45"/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Hospitality / Food service</t>
        </is>
      </c>
    </row>
    <row r="2" ht="20" customHeight="1">
      <c r="B2" s="2" t="inlineStr">
        <is>
          <t>The pack that shows margin, wages and cash before they hurt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WHAT'S IN THE PACK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12-month cash flow, plan and variance</t>
        </is>
      </c>
    </row>
    <row r="7" ht="20" customHeight="1">
      <c r="B7" s="6" t="inlineStr">
        <is>
          <t xml:space="preserve">  Margin</t>
        </is>
      </c>
      <c r="C7" s="7" t="inlineStr">
        <is>
          <t>Cost per portion and gross margin</t>
        </is>
      </c>
    </row>
    <row r="8" ht="20" customHeight="1">
      <c r="B8" s="6" t="inlineStr">
        <is>
          <t xml:space="preserve">  Stock</t>
        </is>
      </c>
      <c r="C8" s="7" t="inlineStr">
        <is>
          <t>Usage and loss value</t>
        </is>
      </c>
    </row>
    <row r="9" ht="20" customHeight="1">
      <c r="B9" s="6" t="inlineStr">
        <is>
          <t xml:space="preserve">  Rota</t>
        </is>
      </c>
      <c r="C9" s="7" t="inlineStr">
        <is>
          <t>Shifts and labour cost share</t>
        </is>
      </c>
    </row>
    <row r="10" ht="20" customHeight="1">
      <c r="B10" s="6" t="inlineStr">
        <is>
          <t xml:space="preserve">  Takings</t>
        </is>
      </c>
      <c r="C10" s="7" t="inlineStr">
        <is>
          <t>Daily takings and cash-up</t>
        </is>
      </c>
    </row>
    <row r="11" ht="20" customHeight="1">
      <c r="B11" s="6" t="inlineStr">
        <is>
          <t xml:space="preserve">  Training</t>
        </is>
      </c>
      <c r="C11" s="7" t="inlineStr">
        <is>
          <t>Training matrix — proof before a shift</t>
        </is>
      </c>
    </row>
    <row r="12"/>
    <row r="13" ht="24" customHeight="1">
      <c r="B13" s="4" t="inlineStr">
        <is>
          <t>METHOD — HOW TO USE IT</t>
        </is>
      </c>
      <c r="C13" s="5" t="n"/>
      <c r="D13" s="5" t="n"/>
      <c r="E13" s="5" t="n"/>
      <c r="F13" s="5" t="n"/>
      <c r="G13" s="5" t="n"/>
      <c r="H13" s="5" t="n"/>
      <c r="I13" s="5" t="n"/>
    </row>
    <row r="14" ht="22" customHeight="1">
      <c r="B14" s="8" t="inlineStr">
        <is>
          <t>•  MORNING: 3 priorities + opening</t>
        </is>
      </c>
    </row>
    <row r="15" ht="22" customHeight="1">
      <c r="B15" s="8" t="inlineStr">
        <is>
          <t>•  DURING THE DAY: takings + losses</t>
        </is>
      </c>
    </row>
    <row r="16" ht="22" customHeight="1">
      <c r="B16" s="8" t="inlineStr">
        <is>
          <t>•  EVENING: cash-up (till close)</t>
        </is>
      </c>
    </row>
    <row r="17" ht="22" customHeight="1">
      <c r="B17" s="8" t="inlineStr">
        <is>
          <t>•  WEEKLY: rota + margin</t>
        </is>
      </c>
    </row>
    <row r="18" ht="22" customHeight="1">
      <c r="B18" s="8" t="inlineStr">
        <is>
          <t>•  MONTHLY: cash flow + overview</t>
        </is>
      </c>
    </row>
    <row r="19"/>
    <row r="20" ht="24" customHeight="1">
      <c r="B20" s="4" t="inlineStr">
        <is>
          <t>COLOURS</t>
        </is>
      </c>
      <c r="C20" s="5" t="n"/>
      <c r="D20" s="5" t="n"/>
      <c r="E20" s="5" t="n"/>
      <c r="F20" s="5" t="n"/>
      <c r="G20" s="5" t="n"/>
      <c r="H20" s="5" t="n"/>
      <c r="I20" s="5" t="n"/>
    </row>
    <row r="21" ht="30" customHeight="1">
      <c r="B21" s="9" t="inlineStr">
        <is>
          <t xml:space="preserve">  Orange = you fill in   ·   Blue = calculated automatically   ·   White/grey = records</t>
        </is>
      </c>
    </row>
    <row r="22"/>
    <row r="23" ht="22" customHeight="1">
      <c r="B23" s="10" t="inlineStr">
        <is>
          <t>ASSET-FORGE · v1.0 · 31/05/2026 · EU (Ireland) · Template — not financial or legal advice.</t>
        </is>
      </c>
    </row>
  </sheetData>
  <mergeCells count="18">
    <mergeCell ref="C8:G8"/>
    <mergeCell ref="B13:I13"/>
    <mergeCell ref="C7:G7"/>
    <mergeCell ref="B16:G16"/>
    <mergeCell ref="B21:I21"/>
    <mergeCell ref="B23:K23"/>
    <mergeCell ref="C6:G6"/>
    <mergeCell ref="C10:G10"/>
    <mergeCell ref="B14:G14"/>
    <mergeCell ref="B2:I2"/>
    <mergeCell ref="B17:G17"/>
    <mergeCell ref="B20:I20"/>
    <mergeCell ref="C11:G11"/>
    <mergeCell ref="B5:I5"/>
    <mergeCell ref="B18:G18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A38C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Day plan</t>
        </is>
      </c>
    </row>
    <row r="2" ht="20" customHeight="1">
      <c r="B2" s="2" t="inlineStr">
        <is>
          <t>Three priorities and a clear schedule for the day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Date</t>
        </is>
      </c>
      <c r="C5" s="12" t="n"/>
    </row>
    <row r="6" ht="20" customHeight="1">
      <c r="B6" s="11" t="inlineStr">
        <is>
          <t>Day</t>
        </is>
      </c>
      <c r="C6" s="13" t="n"/>
    </row>
    <row r="7"/>
    <row r="8" ht="24" customHeight="1">
      <c r="B8" s="4" t="inlineStr">
        <is>
          <t>TODAY'S 3 PRIORITIES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DAY SCHEDULE</t>
        </is>
      </c>
      <c r="C13" s="5" t="n"/>
      <c r="D13" s="5" t="n"/>
      <c r="E13" s="5" t="n"/>
    </row>
    <row r="14" ht="30" customHeight="1">
      <c r="B14" s="15" t="inlineStr">
        <is>
          <t>Time</t>
        </is>
      </c>
      <c r="C14" s="15" t="inlineStr">
        <is>
          <t>Task</t>
        </is>
      </c>
      <c r="D14" s="15" t="inlineStr">
        <is>
          <t>Priority</t>
        </is>
      </c>
      <c r="E14" s="15" t="inlineStr">
        <is>
          <t>Done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OPENING / CLOSING</t>
        </is>
      </c>
      <c r="C32" s="5" t="n"/>
      <c r="D32" s="5" t="n"/>
      <c r="E32" s="5" t="n"/>
    </row>
    <row r="33" ht="19" customHeight="1">
      <c r="B33" s="20" t="inlineStr">
        <is>
          <t xml:space="preserve">  Opening: fridge temperatures</t>
        </is>
      </c>
      <c r="C33" s="21" t="n"/>
      <c r="D33" s="21" t="n"/>
      <c r="E33" s="18" t="n"/>
    </row>
    <row r="34" ht="19" customHeight="1">
      <c r="B34" s="22" t="inlineStr">
        <is>
          <t xml:space="preserve">  Opening: float counted</t>
        </is>
      </c>
      <c r="C34" s="21" t="n"/>
      <c r="D34" s="21" t="n"/>
      <c r="E34" s="18" t="n"/>
    </row>
    <row r="35" ht="19" customHeight="1">
      <c r="B35" s="20" t="inlineStr">
        <is>
          <t xml:space="preserve">  Closing: takings recorded</t>
        </is>
      </c>
      <c r="C35" s="21" t="n"/>
      <c r="D35" s="21" t="n"/>
      <c r="E35" s="18" t="n"/>
    </row>
    <row r="36" ht="19" customHeight="1">
      <c r="B36" s="22" t="inlineStr">
        <is>
          <t xml:space="preserve">  Closing: losses recorded</t>
        </is>
      </c>
      <c r="C36" s="21" t="n"/>
      <c r="D36" s="21" t="n"/>
      <c r="E36" s="18" t="n"/>
    </row>
    <row r="37" ht="19" customHeight="1">
      <c r="B37" s="20" t="inlineStr">
        <is>
          <t xml:space="preserve">  Closing: premises secured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"High,Medium,Low"</formula1>
    </dataValidation>
    <dataValidation sqref="E15 E16 E17 E18 E19 E20 E21 E22 E23 E24 E25 E26 E27 E28 E29 E30 E33 E34 E35 E36 E3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6CDF"/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Overview</t>
        </is>
      </c>
    </row>
    <row r="2" ht="20" customHeight="1">
      <c r="B2" s="2" t="inlineStr">
        <is>
          <t>Automatic dashboard — pulls live figures from the other sheets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ANNUAL REVENUE  ↗</t>
        </is>
      </c>
      <c r="D6" s="29" t="n"/>
      <c r="F6" s="28" t="inlineStr">
        <is>
          <t>GROSS MARGIN  ↗</t>
        </is>
      </c>
      <c r="H6" s="29" t="n"/>
      <c r="J6" s="28" t="inlineStr">
        <is>
          <t>NET PROFIT  ↗</t>
        </is>
      </c>
      <c r="L6" s="29" t="n"/>
    </row>
    <row r="7" ht="22" customHeight="1">
      <c r="B7" s="30">
        <f>IFERROR('03 · Cash flow'!O13,0)</f>
        <v/>
      </c>
      <c r="D7" s="29" t="n"/>
      <c r="F7" s="31">
        <f>IFERROR('03 · Cash flow'!O18,0)</f>
        <v/>
      </c>
      <c r="H7" s="29" t="n"/>
      <c r="J7" s="32">
        <f>IFERROR('03 · Cash flow'!O26,0)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REVENUE VS PLAN  ↗</t>
        </is>
      </c>
      <c r="D11" s="29" t="n"/>
      <c r="F11" s="28" t="inlineStr">
        <is>
          <t>CLOSING CASH  ↗</t>
        </is>
      </c>
      <c r="H11" s="29" t="n"/>
      <c r="J11" s="28" t="inlineStr">
        <is>
          <t>AVERAGE MARGIN  ↗</t>
        </is>
      </c>
      <c r="L11" s="29" t="n"/>
    </row>
    <row r="12" ht="22" customHeight="1">
      <c r="B12" s="30">
        <f>IFERROR('03 · Cash flow'!Q13,0)</f>
        <v/>
      </c>
      <c r="D12" s="29" t="n"/>
      <c r="F12" s="31">
        <f>IFERROR('03 · Cash flow'!N29,0)</f>
        <v/>
      </c>
      <c r="H12" s="29" t="n"/>
      <c r="J12" s="36">
        <f>IFERROR('04 · Margin'!H30,0)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4" customHeight="1">
      <c r="B15" s="23" t="inlineStr"/>
      <c r="C15" s="24" t="n"/>
      <c r="D15" s="25" t="n"/>
    </row>
    <row r="16" ht="18" customHeight="1">
      <c r="B16" s="28" t="inlineStr">
        <is>
          <t>LABOUR SHARE  ↗</t>
        </is>
      </c>
      <c r="D16" s="29" t="n"/>
    </row>
    <row r="17" ht="22" customHeight="1">
      <c r="B17" s="37">
        <f>IFERROR('06 · Rota'!I31,0)</f>
        <v/>
      </c>
      <c r="D17" s="29" t="n"/>
    </row>
    <row r="18" ht="14" customHeight="1">
      <c r="B18" s="33" t="n"/>
      <c r="C18" s="34" t="n"/>
      <c r="D18" s="35" t="n"/>
    </row>
    <row r="19"/>
    <row r="20" ht="24" customHeight="1">
      <c r="B20" s="4" t="inlineStr">
        <is>
          <t>INSIGHTS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24" customHeight="1">
      <c r="B21" s="38">
        <f>IFERROR(IF('03 · Cash flow'!P13="","Revenue vs plan: enter the annual plan on the Cash flow sheet.","Revenue vs plan: "&amp;TEXT('03 · Cash flow'!Q13,"#,##0 €")&amp;" ("&amp;TEXT('03 · Cash flow'!R13,"+0.0%;-0.0%")&amp;") — "&amp;IF('03 · Cash flow'!R13&gt;=0,"ABOVE plan.","BELOW plan, check your main revenue source.")),"Revenue vs plan: no data yet.")</f>
        <v/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</row>
    <row r="22" ht="24" customHeight="1">
      <c r="B22" s="39">
        <f>IFERROR("Net margin: "&amp;TEXT('03 · Cash flow'!O26/'03 · Cash flow'!O13,"0.0%")&amp;IF('03 · Cash flow'!O26/'03 · Cash flow'!O13&gt;=0.1," — healthy."," — careful, low."),"Net margin: no data yet.")</f>
        <v/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 ht="24" customHeight="1">
      <c r="B23" s="38">
        <f>IFERROR("Labour share: "&amp;TEXT('06 · Rota'!I31,"0.0%")&amp;IF('06 · Rota'!I31&gt;0.35," — ABOVE the 35% target."," — fine."),"Labour share: no data yet.")</f>
        <v/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24" customHeight="1">
      <c r="B24" s="39">
        <f>IFERROR("Loss/waste value: "&amp;TEXT('05 · Stock'!I27,"#,##0.00 €")&amp;".","Losses: no data yet.")</f>
        <v/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 ht="24" customHeight="1">
      <c r="B25" s="38">
        <f>IFERROR("Items below target margin: "&amp;TEXT('04 · Margin'!H31,"0")&amp;".","Margin: no data yet.")</f>
        <v/>
      </c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 ht="24" customHeight="1">
      <c r="B26" s="39">
        <f>IFERROR("Till difference (year): "&amp;TEXT('07 · Takings'!H40,"#,##0.00 €")&amp;IF(ABS('07 · Takings'!H40)&gt;1," — review."," — matches."),"Till: no data yet.")</f>
        <v/>
      </c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</row>
    <row r="27"/>
    <row r="28" ht="30" customHeight="1">
      <c r="B28" s="9" t="inlineStr">
        <is>
          <t xml:space="preserve">  These figures update automatically as you fill in the other sheets.</t>
        </is>
      </c>
    </row>
  </sheetData>
  <mergeCells count="31">
    <mergeCell ref="B11:D11"/>
    <mergeCell ref="J6:L6"/>
    <mergeCell ref="B26:L26"/>
    <mergeCell ref="F5:H5"/>
    <mergeCell ref="B25:L25"/>
    <mergeCell ref="B22:L22"/>
    <mergeCell ref="B7:D8"/>
    <mergeCell ref="J11:L11"/>
    <mergeCell ref="B10:D10"/>
    <mergeCell ref="F7:H8"/>
    <mergeCell ref="B21:L21"/>
    <mergeCell ref="B2:L2"/>
    <mergeCell ref="B12:D13"/>
    <mergeCell ref="B15:D15"/>
    <mergeCell ref="F12:H13"/>
    <mergeCell ref="B17:D18"/>
    <mergeCell ref="B6:D6"/>
    <mergeCell ref="B23:L23"/>
    <mergeCell ref="B1:L1"/>
    <mergeCell ref="B5:D5"/>
    <mergeCell ref="B28:L28"/>
    <mergeCell ref="F11:H11"/>
    <mergeCell ref="B16:D16"/>
    <mergeCell ref="J5:L5"/>
    <mergeCell ref="F10:H10"/>
    <mergeCell ref="J7:L8"/>
    <mergeCell ref="F6:H6"/>
    <mergeCell ref="J10:L10"/>
    <mergeCell ref="B24:L24"/>
    <mergeCell ref="B20:L20"/>
    <mergeCell ref="J12:L13"/>
  </mergeCells>
  <conditionalFormatting sqref="J7">
    <cfRule type="cellIs" priority="1" operator="lessThan" dxfId="0">
      <formula>0</formula>
    </cfRule>
  </conditionalFormatting>
  <conditionalFormatting sqref="B17">
    <cfRule type="cellIs" priority="2" operator="greaterThan" dxfId="0">
      <formula>0.35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F6" r:id="rId2"/>
    <hyperlink xmlns:r="http://schemas.openxmlformats.org/officeDocument/2006/relationships" ref="J6" r:id="rId3"/>
    <hyperlink xmlns:r="http://schemas.openxmlformats.org/officeDocument/2006/relationships" ref="B11" r:id="rId4"/>
    <hyperlink xmlns:r="http://schemas.openxmlformats.org/officeDocument/2006/relationships" ref="F11" r:id="rId5"/>
    <hyperlink xmlns:r="http://schemas.openxmlformats.org/officeDocument/2006/relationships" ref="J11" r:id="rId6"/>
    <hyperlink xmlns:r="http://schemas.openxmlformats.org/officeDocument/2006/relationships" ref="B16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D6CDF"/>
    <outlinePr summaryBelow="1" summaryRight="1"/>
    <pageSetUpPr/>
  </sheetPr>
  <dimension ref="A1:R2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6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  <col width="11" customWidth="1" min="18" max="18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12-month cash flow, plan and variance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/>
    <row r="5" ht="20" customHeight="1">
      <c r="B5" s="11" t="inlineStr">
        <is>
          <t>Business name</t>
        </is>
      </c>
      <c r="C5" s="13" t="n"/>
    </row>
    <row r="6" ht="20" customHeight="1">
      <c r="B6" s="11" t="inlineStr">
        <is>
          <t>Year</t>
        </is>
      </c>
      <c r="C6" s="13" t="n"/>
    </row>
    <row r="7" ht="30" customHeight="1">
      <c r="B7" s="9" t="inlineStr">
        <is>
          <t xml:space="preserve">  Fill in the orange cells (monthly actuals + annual plan). Totals, margin, profit, variance from plan and closing cash are calculated automatically.</t>
        </is>
      </c>
    </row>
    <row r="8" ht="30" customHeight="1">
      <c r="B8" s="15" t="inlineStr">
        <is>
          <t>Item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May</t>
        </is>
      </c>
      <c r="H8" s="15" t="inlineStr">
        <is>
          <t>Jun</t>
        </is>
      </c>
      <c r="I8" s="15" t="inlineStr">
        <is>
          <t>Jul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Oct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Year</t>
        </is>
      </c>
      <c r="P8" s="15" t="inlineStr">
        <is>
          <t>Plan (year)</t>
        </is>
      </c>
      <c r="Q8" s="15" t="inlineStr">
        <is>
          <t>Variance €</t>
        </is>
      </c>
      <c r="R8" s="15" t="inlineStr">
        <is>
          <t>Variance %</t>
        </is>
      </c>
    </row>
    <row r="9" ht="18" customHeight="1">
      <c r="B9" s="40" t="inlineStr">
        <is>
          <t>REVENUE</t>
        </is>
      </c>
    </row>
    <row r="10" ht="16" customHeight="1">
      <c r="B10" s="20" t="inlineStr">
        <is>
          <t>Food sales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  <c r="P10" s="41" t="n"/>
      <c r="Q10" s="43">
        <f>IF(OR(O10="",P10=""),"",O10-P10)</f>
        <v/>
      </c>
      <c r="R10" s="44">
        <f>IF(OR(P10="",P10=0,O10=""),"",(O10-P10)/P10)</f>
        <v/>
      </c>
    </row>
    <row r="11" ht="16" customHeight="1">
      <c r="B11" s="20" t="inlineStr">
        <is>
          <t>Drink sales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  <c r="P11" s="41" t="n"/>
      <c r="Q11" s="43">
        <f>IF(OR(O11="",P11=""),"",O11-P11)</f>
        <v/>
      </c>
      <c r="R11" s="44">
        <f>IF(OR(P11="",P11=0,O11=""),"",(O11-P11)/P11)</f>
        <v/>
      </c>
    </row>
    <row r="12" ht="16" customHeight="1">
      <c r="B12" s="20" t="inlineStr">
        <is>
          <t>Other income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  <c r="P12" s="41" t="n"/>
      <c r="Q12" s="43">
        <f>IF(OR(O12="",P12=""),"",O12-P12)</f>
        <v/>
      </c>
      <c r="R12" s="44">
        <f>IF(OR(P12="",P12=0,O12=""),"",(O12-P12)/P12)</f>
        <v/>
      </c>
    </row>
    <row r="13" ht="16" customHeight="1">
      <c r="B13" s="45" t="inlineStr">
        <is>
          <t>Total revenue</t>
        </is>
      </c>
      <c r="C13" s="43">
        <f>SUM(C10:C12)</f>
        <v/>
      </c>
      <c r="D13" s="43">
        <f>SUM(D10:D12)</f>
        <v/>
      </c>
      <c r="E13" s="43">
        <f>SUM(E10:E12)</f>
        <v/>
      </c>
      <c r="F13" s="43">
        <f>SUM(F10:F12)</f>
        <v/>
      </c>
      <c r="G13" s="43">
        <f>SUM(G10:G12)</f>
        <v/>
      </c>
      <c r="H13" s="43">
        <f>SUM(H10:H12)</f>
        <v/>
      </c>
      <c r="I13" s="43">
        <f>SUM(I10:I12)</f>
        <v/>
      </c>
      <c r="J13" s="43">
        <f>SUM(J10:J12)</f>
        <v/>
      </c>
      <c r="K13" s="43">
        <f>SUM(K10:K12)</f>
        <v/>
      </c>
      <c r="L13" s="43">
        <f>SUM(L10:L12)</f>
        <v/>
      </c>
      <c r="M13" s="43">
        <f>SUM(M10:M12)</f>
        <v/>
      </c>
      <c r="N13" s="43">
        <f>SUM(N10:N12)</f>
        <v/>
      </c>
      <c r="O13" s="42">
        <f>SUM(C13:N13)</f>
        <v/>
      </c>
      <c r="P13" s="42">
        <f>SUM(P10:P12)</f>
        <v/>
      </c>
      <c r="Q13" s="42">
        <f>IF(OR(O13="",P13=""),"",O13-P13)</f>
        <v/>
      </c>
      <c r="R13" s="46">
        <f>IF(OR(P13="",P13=0,O13=""),"",(O13-P13)/P13)</f>
        <v/>
      </c>
    </row>
    <row r="14" ht="18" customHeight="1">
      <c r="B14" s="40" t="inlineStr">
        <is>
          <t>COST OF SALES</t>
        </is>
      </c>
    </row>
    <row r="15" ht="16" customHeight="1">
      <c r="B15" s="20" t="inlineStr">
        <is>
          <t>Food cost</t>
        </is>
      </c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2">
        <f>SUM(C15:N15)</f>
        <v/>
      </c>
      <c r="P15" s="41" t="n"/>
      <c r="Q15" s="43">
        <f>IF(OR(O15="",P15=""),"",O15-P15)</f>
        <v/>
      </c>
      <c r="R15" s="44">
        <f>IF(OR(P15="",P15=0,O15=""),"",(O15-P15)/P15)</f>
        <v/>
      </c>
    </row>
    <row r="16" ht="16" customHeight="1">
      <c r="B16" s="20" t="inlineStr">
        <is>
          <t>Drink cost</t>
        </is>
      </c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>
        <f>SUM(C16:N16)</f>
        <v/>
      </c>
      <c r="P16" s="41" t="n"/>
      <c r="Q16" s="43">
        <f>IF(OR(O16="",P16=""),"",O16-P16)</f>
        <v/>
      </c>
      <c r="R16" s="44">
        <f>IF(OR(P16="",P16=0,O16=""),"",(O16-P16)/P16)</f>
        <v/>
      </c>
    </row>
    <row r="17" ht="16" customHeight="1">
      <c r="B17" s="45" t="inlineStr">
        <is>
          <t>Total costs</t>
        </is>
      </c>
      <c r="C17" s="43">
        <f>SUM(C15:C16)</f>
        <v/>
      </c>
      <c r="D17" s="43">
        <f>SUM(D15:D16)</f>
        <v/>
      </c>
      <c r="E17" s="43">
        <f>SUM(E15:E16)</f>
        <v/>
      </c>
      <c r="F17" s="43">
        <f>SUM(F15:F16)</f>
        <v/>
      </c>
      <c r="G17" s="43">
        <f>SUM(G15:G16)</f>
        <v/>
      </c>
      <c r="H17" s="43">
        <f>SUM(H15:H16)</f>
        <v/>
      </c>
      <c r="I17" s="43">
        <f>SUM(I15:I16)</f>
        <v/>
      </c>
      <c r="J17" s="43">
        <f>SUM(J15:J16)</f>
        <v/>
      </c>
      <c r="K17" s="43">
        <f>SUM(K15:K16)</f>
        <v/>
      </c>
      <c r="L17" s="43">
        <f>SUM(L15:L16)</f>
        <v/>
      </c>
      <c r="M17" s="43">
        <f>SUM(M15:M16)</f>
        <v/>
      </c>
      <c r="N17" s="43">
        <f>SUM(N15:N16)</f>
        <v/>
      </c>
      <c r="O17" s="42">
        <f>SUM(C17:N17)</f>
        <v/>
      </c>
      <c r="P17" s="42">
        <f>SUM(P15:P16)</f>
        <v/>
      </c>
      <c r="Q17" s="42">
        <f>IF(OR(O17="",P17=""),"",O17-P17)</f>
        <v/>
      </c>
      <c r="R17" s="46">
        <f>IF(OR(P17="",P17=0,O17=""),"",(O17-P17)/P17)</f>
        <v/>
      </c>
    </row>
    <row r="18" ht="16" customHeight="1">
      <c r="B18" s="45" t="inlineStr">
        <is>
          <t>GROSS MARGIN</t>
        </is>
      </c>
      <c r="C18" s="43">
        <f>C13-C17</f>
        <v/>
      </c>
      <c r="D18" s="43">
        <f>D13-D17</f>
        <v/>
      </c>
      <c r="E18" s="43">
        <f>E13-E17</f>
        <v/>
      </c>
      <c r="F18" s="43">
        <f>F13-F17</f>
        <v/>
      </c>
      <c r="G18" s="43">
        <f>G13-G17</f>
        <v/>
      </c>
      <c r="H18" s="43">
        <f>H13-H17</f>
        <v/>
      </c>
      <c r="I18" s="43">
        <f>I13-I17</f>
        <v/>
      </c>
      <c r="J18" s="43">
        <f>J13-J17</f>
        <v/>
      </c>
      <c r="K18" s="43">
        <f>K13-K17</f>
        <v/>
      </c>
      <c r="L18" s="43">
        <f>L13-L17</f>
        <v/>
      </c>
      <c r="M18" s="43">
        <f>M13-M17</f>
        <v/>
      </c>
      <c r="N18" s="43">
        <f>N13-N17</f>
        <v/>
      </c>
      <c r="O18" s="42">
        <f>SUM(C18:N18)</f>
        <v/>
      </c>
      <c r="P18" s="42">
        <f>P13-P17</f>
        <v/>
      </c>
      <c r="Q18" s="42">
        <f>IF(OR(O18="",P18=""),"",O18-P18)</f>
        <v/>
      </c>
      <c r="R18" s="46">
        <f>IF(OR(P18="",P18=0,O18=""),"",(O18-P18)/P18)</f>
        <v/>
      </c>
    </row>
    <row r="19" ht="18" customHeight="1">
      <c r="B19" s="40" t="inlineStr">
        <is>
          <t>OVERHEADS</t>
        </is>
      </c>
    </row>
    <row r="20" ht="16" customHeight="1">
      <c r="B20" s="20" t="inlineStr">
        <is>
          <t>Wages and staff</t>
        </is>
      </c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2">
        <f>SUM(C20:N20)</f>
        <v/>
      </c>
      <c r="P20" s="41" t="n"/>
      <c r="Q20" s="43">
        <f>IF(OR(O20="",P20=""),"",O20-P20)</f>
        <v/>
      </c>
      <c r="R20" s="44">
        <f>IF(OR(P20="",P20=0,O20=""),"",(O20-P20)/P20)</f>
        <v/>
      </c>
    </row>
    <row r="21" ht="16" customHeight="1">
      <c r="B21" s="20" t="inlineStr">
        <is>
          <t>Rent and rates</t>
        </is>
      </c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2">
        <f>SUM(C21:N21)</f>
        <v/>
      </c>
      <c r="P21" s="41" t="n"/>
      <c r="Q21" s="43">
        <f>IF(OR(O21="",P21=""),"",O21-P21)</f>
        <v/>
      </c>
      <c r="R21" s="44">
        <f>IF(OR(P21="",P21=0,O21=""),"",(O21-P21)/P21)</f>
        <v/>
      </c>
    </row>
    <row r="22" ht="16" customHeight="1">
      <c r="B22" s="20" t="inlineStr">
        <is>
          <t>Utilities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  <c r="P22" s="41" t="n"/>
      <c r="Q22" s="43">
        <f>IF(OR(O22="",P22=""),"",O22-P22)</f>
        <v/>
      </c>
      <c r="R22" s="44">
        <f>IF(OR(P22="",P22=0,O22=""),"",(O22-P22)/P22)</f>
        <v/>
      </c>
    </row>
    <row r="23" ht="16" customHeight="1">
      <c r="B23" s="20" t="inlineStr">
        <is>
          <t>Marketing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  <c r="P23" s="41" t="n"/>
      <c r="Q23" s="43">
        <f>IF(OR(O23="",P23=""),"",O23-P23)</f>
        <v/>
      </c>
      <c r="R23" s="44">
        <f>IF(OR(P23="",P23=0,O23=""),"",(O23-P23)/P23)</f>
        <v/>
      </c>
    </row>
    <row r="24" ht="16" customHeight="1">
      <c r="B24" s="20" t="inlineStr">
        <is>
          <t>Other overheads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  <c r="P24" s="41" t="n"/>
      <c r="Q24" s="43">
        <f>IF(OR(O24="",P24=""),"",O24-P24)</f>
        <v/>
      </c>
      <c r="R24" s="44">
        <f>IF(OR(P24="",P24=0,O24=""),"",(O24-P24)/P24)</f>
        <v/>
      </c>
    </row>
    <row r="25" ht="16" customHeight="1">
      <c r="B25" s="45" t="inlineStr">
        <is>
          <t>Total overheads</t>
        </is>
      </c>
      <c r="C25" s="43">
        <f>SUM(C20:C24)</f>
        <v/>
      </c>
      <c r="D25" s="43">
        <f>SUM(D20:D24)</f>
        <v/>
      </c>
      <c r="E25" s="43">
        <f>SUM(E20:E24)</f>
        <v/>
      </c>
      <c r="F25" s="43">
        <f>SUM(F20:F24)</f>
        <v/>
      </c>
      <c r="G25" s="43">
        <f>SUM(G20:G24)</f>
        <v/>
      </c>
      <c r="H25" s="43">
        <f>SUM(H20:H24)</f>
        <v/>
      </c>
      <c r="I25" s="43">
        <f>SUM(I20:I24)</f>
        <v/>
      </c>
      <c r="J25" s="43">
        <f>SUM(J20:J24)</f>
        <v/>
      </c>
      <c r="K25" s="43">
        <f>SUM(K20:K24)</f>
        <v/>
      </c>
      <c r="L25" s="43">
        <f>SUM(L20:L24)</f>
        <v/>
      </c>
      <c r="M25" s="43">
        <f>SUM(M20:M24)</f>
        <v/>
      </c>
      <c r="N25" s="43">
        <f>SUM(N20:N24)</f>
        <v/>
      </c>
      <c r="O25" s="42">
        <f>SUM(C25:N25)</f>
        <v/>
      </c>
      <c r="P25" s="42">
        <f>SUM(P20:P24)</f>
        <v/>
      </c>
      <c r="Q25" s="42">
        <f>IF(OR(O25="",P25=""),"",O25-P25)</f>
        <v/>
      </c>
      <c r="R25" s="46">
        <f>IF(OR(P25="",P25=0,O25=""),"",(O25-P25)/P25)</f>
        <v/>
      </c>
    </row>
    <row r="26" ht="16" customHeight="1">
      <c r="B26" s="45" t="inlineStr">
        <is>
          <t>NET PROFIT</t>
        </is>
      </c>
      <c r="C26" s="43">
        <f>C18-C25</f>
        <v/>
      </c>
      <c r="D26" s="43">
        <f>D18-D25</f>
        <v/>
      </c>
      <c r="E26" s="43">
        <f>E18-E25</f>
        <v/>
      </c>
      <c r="F26" s="43">
        <f>F18-F25</f>
        <v/>
      </c>
      <c r="G26" s="43">
        <f>G18-G25</f>
        <v/>
      </c>
      <c r="H26" s="43">
        <f>H18-H25</f>
        <v/>
      </c>
      <c r="I26" s="43">
        <f>I18-I25</f>
        <v/>
      </c>
      <c r="J26" s="43">
        <f>J18-J25</f>
        <v/>
      </c>
      <c r="K26" s="43">
        <f>K18-K25</f>
        <v/>
      </c>
      <c r="L26" s="43">
        <f>L18-L25</f>
        <v/>
      </c>
      <c r="M26" s="43">
        <f>M18-M25</f>
        <v/>
      </c>
      <c r="N26" s="43">
        <f>N18-N25</f>
        <v/>
      </c>
      <c r="O26" s="42">
        <f>SUM(C26:N26)</f>
        <v/>
      </c>
      <c r="P26" s="42">
        <f>P18-P25</f>
        <v/>
      </c>
      <c r="Q26" s="42">
        <f>IF(OR(O26="",P26=""),"",O26-P26)</f>
        <v/>
      </c>
      <c r="R26" s="46">
        <f>IF(OR(P26="",P26=0,O26=""),"",(O26-P26)/P26)</f>
        <v/>
      </c>
    </row>
    <row r="27" ht="18" customHeight="1">
      <c r="B27" s="40" t="inlineStr">
        <is>
          <t>CASH</t>
        </is>
      </c>
    </row>
    <row r="28">
      <c r="B28" s="20" t="inlineStr">
        <is>
          <t>Opening cash</t>
        </is>
      </c>
      <c r="C28" s="41" t="n"/>
      <c r="D28" s="43">
        <f>C29</f>
        <v/>
      </c>
      <c r="E28" s="43">
        <f>D29</f>
        <v/>
      </c>
      <c r="F28" s="43">
        <f>E29</f>
        <v/>
      </c>
      <c r="G28" s="43">
        <f>F29</f>
        <v/>
      </c>
      <c r="H28" s="43">
        <f>G29</f>
        <v/>
      </c>
      <c r="I28" s="43">
        <f>H29</f>
        <v/>
      </c>
      <c r="J28" s="43">
        <f>I29</f>
        <v/>
      </c>
      <c r="K28" s="43">
        <f>J29</f>
        <v/>
      </c>
      <c r="L28" s="43">
        <f>K29</f>
        <v/>
      </c>
      <c r="M28" s="43">
        <f>L29</f>
        <v/>
      </c>
      <c r="N28" s="43">
        <f>M29</f>
        <v/>
      </c>
      <c r="O28" s="43">
        <f>C28</f>
        <v/>
      </c>
    </row>
    <row r="29">
      <c r="B29" s="45" t="inlineStr">
        <is>
          <t>Closing cash</t>
        </is>
      </c>
      <c r="C29" s="42">
        <f>C28+C26</f>
        <v/>
      </c>
      <c r="D29" s="42">
        <f>D28+D26</f>
        <v/>
      </c>
      <c r="E29" s="42">
        <f>E28+E26</f>
        <v/>
      </c>
      <c r="F29" s="42">
        <f>F28+F26</f>
        <v/>
      </c>
      <c r="G29" s="42">
        <f>G28+G26</f>
        <v/>
      </c>
      <c r="H29" s="42">
        <f>H28+H26</f>
        <v/>
      </c>
      <c r="I29" s="42">
        <f>I28+I26</f>
        <v/>
      </c>
      <c r="J29" s="42">
        <f>J28+J26</f>
        <v/>
      </c>
      <c r="K29" s="42">
        <f>K28+K26</f>
        <v/>
      </c>
      <c r="L29" s="42">
        <f>L28+L26</f>
        <v/>
      </c>
      <c r="M29" s="42">
        <f>M28+M26</f>
        <v/>
      </c>
      <c r="N29" s="42">
        <f>N28+N26</f>
        <v/>
      </c>
      <c r="O29" s="42">
        <f>N29</f>
        <v/>
      </c>
    </row>
  </sheetData>
  <mergeCells count="8">
    <mergeCell ref="B14:R14"/>
    <mergeCell ref="B9:R9"/>
    <mergeCell ref="B27:R27"/>
    <mergeCell ref="C5:E5"/>
    <mergeCell ref="B7:R7"/>
    <mergeCell ref="B2:R2"/>
    <mergeCell ref="B19:R19"/>
    <mergeCell ref="B1:R1"/>
  </mergeCells>
  <conditionalFormatting sqref="Q13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Q18">
    <cfRule type="cellIs" priority="3" operator="lessThan" dxfId="1">
      <formula>0</formula>
    </cfRule>
    <cfRule type="cellIs" priority="4" operator="greaterThan" dxfId="2">
      <formula>0</formula>
    </cfRule>
  </conditionalFormatting>
  <conditionalFormatting sqref="Q26">
    <cfRule type="cellIs" priority="5" operator="lessThan" dxfId="1">
      <formula>0</formula>
    </cfRule>
    <cfRule type="cellIs" priority="6" operator="greaterThan" dxfId="2">
      <formula>0</formula>
    </cfRule>
  </conditionalFormatting>
  <conditionalFormatting sqref="C29:N29">
    <cfRule type="cellIs" priority="7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A38C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0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Margin</t>
        </is>
      </c>
    </row>
    <row r="2" ht="20" customHeight="1">
      <c r="B2" s="2" t="inlineStr">
        <is>
          <t>Cost per portion and gross margin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Business name</t>
        </is>
      </c>
      <c r="C5" s="13" t="n"/>
    </row>
    <row r="6" ht="30" customHeight="1">
      <c r="B6" s="9" t="inlineStr">
        <is>
          <t xml:space="preserve">  Enter costs and target margin. The recommended price (ex VAT) is calculated; the real margin shows alongside.</t>
        </is>
      </c>
    </row>
    <row r="7" ht="30" customHeight="1">
      <c r="B7" s="15" t="inlineStr">
        <is>
          <t>Dish / drink</t>
        </is>
      </c>
      <c r="C7" s="15" t="inlineStr">
        <is>
          <t>Size</t>
        </is>
      </c>
      <c r="D7" s="15" t="inlineStr">
        <is>
          <t>Cost €</t>
        </is>
      </c>
      <c r="E7" s="15" t="inlineStr">
        <is>
          <t>Target margin %</t>
        </is>
      </c>
      <c r="F7" s="15" t="inlineStr">
        <is>
          <t>Rec. price €</t>
        </is>
      </c>
      <c r="G7" s="15" t="inlineStr">
        <is>
          <t>Menu price €</t>
        </is>
      </c>
      <c r="H7" s="15" t="inlineStr">
        <is>
          <t>Real margin %</t>
        </is>
      </c>
      <c r="I7" s="15" t="inlineStr">
        <is>
          <t>Status</t>
        </is>
      </c>
    </row>
    <row r="8" ht="19" customHeight="1">
      <c r="B8" s="47" t="inlineStr">
        <is>
          <t>Basket of house bread</t>
        </is>
      </c>
      <c r="C8" s="48" t="n"/>
      <c r="D8" s="49" t="n"/>
      <c r="E8" s="50" t="n"/>
      <c r="F8" s="51">
        <f>IF(OR(D8="",E8=""),"",D8/(1-E8))</f>
        <v/>
      </c>
      <c r="G8" s="49" t="n"/>
      <c r="H8" s="52">
        <f>IF(OR(G8="",D8=""),"",(G8-D8)/G8)</f>
        <v/>
      </c>
      <c r="I8" s="53">
        <f>IF(OR(H8="",E8=""),"",IF(H8&lt;E8,"LOW","OK"))</f>
        <v/>
      </c>
    </row>
    <row r="9" ht="19" customHeight="1">
      <c r="B9" s="54" t="inlineStr">
        <is>
          <t>Fish soup</t>
        </is>
      </c>
      <c r="C9" s="55" t="n"/>
      <c r="D9" s="49" t="n"/>
      <c r="E9" s="50" t="n"/>
      <c r="F9" s="51">
        <f>IF(OR(D9="",E9=""),"",D9/(1-E9))</f>
        <v/>
      </c>
      <c r="G9" s="49" t="n"/>
      <c r="H9" s="52">
        <f>IF(OR(G9="",D9=""),"",(G9-D9)/G9)</f>
        <v/>
      </c>
      <c r="I9" s="56">
        <f>IF(OR(H9="",E9=""),"",IF(H9&lt;E9,"LOW","OK"))</f>
        <v/>
      </c>
    </row>
    <row r="10" ht="19" customHeight="1">
      <c r="B10" s="47" t="inlineStr">
        <is>
          <t>Beef burger</t>
        </is>
      </c>
      <c r="C10" s="48" t="n"/>
      <c r="D10" s="49" t="n"/>
      <c r="E10" s="50" t="n"/>
      <c r="F10" s="51">
        <f>IF(OR(D10="",E10=""),"",D10/(1-E10))</f>
        <v/>
      </c>
      <c r="G10" s="49" t="n"/>
      <c r="H10" s="52">
        <f>IF(OR(G10="",D10=""),"",(G10-D10)/G10)</f>
        <v/>
      </c>
      <c r="I10" s="53">
        <f>IF(OR(H10="",E10=""),"",IF(H10&lt;E10,"LOW","OK"))</f>
        <v/>
      </c>
    </row>
    <row r="11" ht="19" customHeight="1">
      <c r="B11" s="54" t="inlineStr">
        <is>
          <t>Cappuccino</t>
        </is>
      </c>
      <c r="C11" s="55" t="n"/>
      <c r="D11" s="49" t="n"/>
      <c r="E11" s="50" t="n"/>
      <c r="F11" s="51">
        <f>IF(OR(D11="",E11=""),"",D11/(1-E11))</f>
        <v/>
      </c>
      <c r="G11" s="49" t="n"/>
      <c r="H11" s="52">
        <f>IF(OR(G11="",D11=""),"",(G11-D11)/G11)</f>
        <v/>
      </c>
      <c r="I11" s="56">
        <f>IF(OR(H11="",E11=""),"",IF(H11&lt;E11,"LOW","OK"))</f>
        <v/>
      </c>
    </row>
    <row r="12" ht="19" customHeight="1">
      <c r="B12" s="47" t="inlineStr">
        <is>
          <t>Draught beer</t>
        </is>
      </c>
      <c r="C12" s="48" t="n"/>
      <c r="D12" s="49" t="n"/>
      <c r="E12" s="50" t="n"/>
      <c r="F12" s="51">
        <f>IF(OR(D12="",E12=""),"",D12/(1-E12))</f>
        <v/>
      </c>
      <c r="G12" s="49" t="n"/>
      <c r="H12" s="52">
        <f>IF(OR(G12="",D12=""),"",(G12-D12)/G12)</f>
        <v/>
      </c>
      <c r="I12" s="53">
        <f>IF(OR(H12="",E12=""),"",IF(H12&lt;E12,"LOW","OK"))</f>
        <v/>
      </c>
    </row>
    <row r="13" ht="19" customHeight="1">
      <c r="B13" s="54" t="n"/>
      <c r="C13" s="55" t="n"/>
      <c r="D13" s="49" t="n"/>
      <c r="E13" s="50" t="n"/>
      <c r="F13" s="51">
        <f>IF(OR(D13="",E13=""),"",D13/(1-E13))</f>
        <v/>
      </c>
      <c r="G13" s="49" t="n"/>
      <c r="H13" s="52">
        <f>IF(OR(G13="",D13=""),"",(G13-D13)/G13)</f>
        <v/>
      </c>
      <c r="I13" s="56">
        <f>IF(OR(H13="",E13=""),"",IF(H13&lt;E13,"LOW","OK"))</f>
        <v/>
      </c>
    </row>
    <row r="14" ht="19" customHeight="1">
      <c r="B14" s="47" t="n"/>
      <c r="C14" s="48" t="n"/>
      <c r="D14" s="49" t="n"/>
      <c r="E14" s="50" t="n"/>
      <c r="F14" s="51">
        <f>IF(OR(D14="",E14=""),"",D14/(1-E14))</f>
        <v/>
      </c>
      <c r="G14" s="49" t="n"/>
      <c r="H14" s="52">
        <f>IF(OR(G14="",D14=""),"",(G14-D14)/G14)</f>
        <v/>
      </c>
      <c r="I14" s="53">
        <f>IF(OR(H14="",E14=""),"",IF(H14&lt;E14,"LOW","OK"))</f>
        <v/>
      </c>
    </row>
    <row r="15" ht="19" customHeight="1">
      <c r="B15" s="54" t="n"/>
      <c r="C15" s="55" t="n"/>
      <c r="D15" s="49" t="n"/>
      <c r="E15" s="50" t="n"/>
      <c r="F15" s="51">
        <f>IF(OR(D15="",E15=""),"",D15/(1-E15))</f>
        <v/>
      </c>
      <c r="G15" s="49" t="n"/>
      <c r="H15" s="52">
        <f>IF(OR(G15="",D15=""),"",(G15-D15)/G15)</f>
        <v/>
      </c>
      <c r="I15" s="56">
        <f>IF(OR(H15="",E15=""),"",IF(H15&lt;E15,"LOW","OK"))</f>
        <v/>
      </c>
    </row>
    <row r="16" ht="19" customHeight="1">
      <c r="B16" s="47" t="n"/>
      <c r="C16" s="48" t="n"/>
      <c r="D16" s="49" t="n"/>
      <c r="E16" s="50" t="n"/>
      <c r="F16" s="51">
        <f>IF(OR(D16="",E16=""),"",D16/(1-E16))</f>
        <v/>
      </c>
      <c r="G16" s="49" t="n"/>
      <c r="H16" s="52">
        <f>IF(OR(G16="",D16=""),"",(G16-D16)/G16)</f>
        <v/>
      </c>
      <c r="I16" s="53">
        <f>IF(OR(H16="",E16=""),"",IF(H16&lt;E16,"LOW","OK"))</f>
        <v/>
      </c>
    </row>
    <row r="17" ht="19" customHeight="1">
      <c r="B17" s="54" t="n"/>
      <c r="C17" s="55" t="n"/>
      <c r="D17" s="49" t="n"/>
      <c r="E17" s="50" t="n"/>
      <c r="F17" s="51">
        <f>IF(OR(D17="",E17=""),"",D17/(1-E17))</f>
        <v/>
      </c>
      <c r="G17" s="49" t="n"/>
      <c r="H17" s="52">
        <f>IF(OR(G17="",D17=""),"",(G17-D17)/G17)</f>
        <v/>
      </c>
      <c r="I17" s="56">
        <f>IF(OR(H17="",E17=""),"",IF(H17&lt;E17,"LOW","OK"))</f>
        <v/>
      </c>
    </row>
    <row r="18" ht="19" customHeight="1">
      <c r="B18" s="47" t="n"/>
      <c r="C18" s="48" t="n"/>
      <c r="D18" s="49" t="n"/>
      <c r="E18" s="50" t="n"/>
      <c r="F18" s="51">
        <f>IF(OR(D18="",E18=""),"",D18/(1-E18))</f>
        <v/>
      </c>
      <c r="G18" s="49" t="n"/>
      <c r="H18" s="52">
        <f>IF(OR(G18="",D18=""),"",(G18-D18)/G18)</f>
        <v/>
      </c>
      <c r="I18" s="53">
        <f>IF(OR(H18="",E18=""),"",IF(H18&lt;E18,"LOW","OK"))</f>
        <v/>
      </c>
    </row>
    <row r="19" ht="19" customHeight="1">
      <c r="B19" s="54" t="n"/>
      <c r="C19" s="55" t="n"/>
      <c r="D19" s="49" t="n"/>
      <c r="E19" s="50" t="n"/>
      <c r="F19" s="51">
        <f>IF(OR(D19="",E19=""),"",D19/(1-E19))</f>
        <v/>
      </c>
      <c r="G19" s="49" t="n"/>
      <c r="H19" s="52">
        <f>IF(OR(G19="",D19=""),"",(G19-D19)/G19)</f>
        <v/>
      </c>
      <c r="I19" s="56">
        <f>IF(OR(H19="",E19=""),"",IF(H19&lt;E19,"LOW","OK"))</f>
        <v/>
      </c>
    </row>
    <row r="20" ht="19" customHeight="1">
      <c r="B20" s="47" t="n"/>
      <c r="C20" s="48" t="n"/>
      <c r="D20" s="49" t="n"/>
      <c r="E20" s="50" t="n"/>
      <c r="F20" s="51">
        <f>IF(OR(D20="",E20=""),"",D20/(1-E20))</f>
        <v/>
      </c>
      <c r="G20" s="49" t="n"/>
      <c r="H20" s="52">
        <f>IF(OR(G20="",D20=""),"",(G20-D20)/G20)</f>
        <v/>
      </c>
      <c r="I20" s="53">
        <f>IF(OR(H20="",E20=""),"",IF(H20&lt;E20,"LOW","OK"))</f>
        <v/>
      </c>
    </row>
    <row r="21" ht="19" customHeight="1">
      <c r="B21" s="54" t="n"/>
      <c r="C21" s="55" t="n"/>
      <c r="D21" s="49" t="n"/>
      <c r="E21" s="50" t="n"/>
      <c r="F21" s="51">
        <f>IF(OR(D21="",E21=""),"",D21/(1-E21))</f>
        <v/>
      </c>
      <c r="G21" s="49" t="n"/>
      <c r="H21" s="52">
        <f>IF(OR(G21="",D21=""),"",(G21-D21)/G21)</f>
        <v/>
      </c>
      <c r="I21" s="56">
        <f>IF(OR(H21="",E21=""),"",IF(H21&lt;E21,"LOW","OK"))</f>
        <v/>
      </c>
    </row>
    <row r="22" ht="19" customHeight="1">
      <c r="B22" s="47" t="n"/>
      <c r="C22" s="48" t="n"/>
      <c r="D22" s="49" t="n"/>
      <c r="E22" s="50" t="n"/>
      <c r="F22" s="51">
        <f>IF(OR(D22="",E22=""),"",D22/(1-E22))</f>
        <v/>
      </c>
      <c r="G22" s="49" t="n"/>
      <c r="H22" s="52">
        <f>IF(OR(G22="",D22=""),"",(G22-D22)/G22)</f>
        <v/>
      </c>
      <c r="I22" s="53">
        <f>IF(OR(H22="",E22=""),"",IF(H22&lt;E22,"LOW","OK"))</f>
        <v/>
      </c>
    </row>
    <row r="23" ht="19" customHeight="1">
      <c r="B23" s="54" t="n"/>
      <c r="C23" s="55" t="n"/>
      <c r="D23" s="49" t="n"/>
      <c r="E23" s="50" t="n"/>
      <c r="F23" s="51">
        <f>IF(OR(D23="",E23=""),"",D23/(1-E23))</f>
        <v/>
      </c>
      <c r="G23" s="49" t="n"/>
      <c r="H23" s="52">
        <f>IF(OR(G23="",D23=""),"",(G23-D23)/G23)</f>
        <v/>
      </c>
      <c r="I23" s="56">
        <f>IF(OR(H23="",E23=""),"",IF(H23&lt;E23,"LOW","OK"))</f>
        <v/>
      </c>
    </row>
    <row r="24" ht="19" customHeight="1">
      <c r="B24" s="47" t="n"/>
      <c r="C24" s="48" t="n"/>
      <c r="D24" s="49" t="n"/>
      <c r="E24" s="50" t="n"/>
      <c r="F24" s="51">
        <f>IF(OR(D24="",E24=""),"",D24/(1-E24))</f>
        <v/>
      </c>
      <c r="G24" s="49" t="n"/>
      <c r="H24" s="52">
        <f>IF(OR(G24="",D24=""),"",(G24-D24)/G24)</f>
        <v/>
      </c>
      <c r="I24" s="53">
        <f>IF(OR(H24="",E24=""),"",IF(H24&lt;E24,"LOW","OK"))</f>
        <v/>
      </c>
    </row>
    <row r="25" ht="19" customHeight="1">
      <c r="B25" s="54" t="n"/>
      <c r="C25" s="55" t="n"/>
      <c r="D25" s="49" t="n"/>
      <c r="E25" s="50" t="n"/>
      <c r="F25" s="51">
        <f>IF(OR(D25="",E25=""),"",D25/(1-E25))</f>
        <v/>
      </c>
      <c r="G25" s="49" t="n"/>
      <c r="H25" s="52">
        <f>IF(OR(G25="",D25=""),"",(G25-D25)/G25)</f>
        <v/>
      </c>
      <c r="I25" s="56">
        <f>IF(OR(H25="",E25=""),"",IF(H25&lt;E25,"LOW","OK"))</f>
        <v/>
      </c>
    </row>
    <row r="26" ht="19" customHeight="1">
      <c r="B26" s="47" t="n"/>
      <c r="C26" s="48" t="n"/>
      <c r="D26" s="49" t="n"/>
      <c r="E26" s="50" t="n"/>
      <c r="F26" s="51">
        <f>IF(OR(D26="",E26=""),"",D26/(1-E26))</f>
        <v/>
      </c>
      <c r="G26" s="49" t="n"/>
      <c r="H26" s="52">
        <f>IF(OR(G26="",D26=""),"",(G26-D26)/G26)</f>
        <v/>
      </c>
      <c r="I26" s="53">
        <f>IF(OR(H26="",E26=""),"",IF(H26&lt;E26,"LOW","OK"))</f>
        <v/>
      </c>
    </row>
    <row r="27" ht="19" customHeight="1">
      <c r="B27" s="54" t="n"/>
      <c r="C27" s="55" t="n"/>
      <c r="D27" s="49" t="n"/>
      <c r="E27" s="50" t="n"/>
      <c r="F27" s="51">
        <f>IF(OR(D27="",E27=""),"",D27/(1-E27))</f>
        <v/>
      </c>
      <c r="G27" s="49" t="n"/>
      <c r="H27" s="52">
        <f>IF(OR(G27="",D27=""),"",(G27-D27)/G27)</f>
        <v/>
      </c>
      <c r="I27" s="56">
        <f>IF(OR(H27="",E27=""),"",IF(H27&lt;E27,"LOW","OK"))</f>
        <v/>
      </c>
    </row>
    <row r="28" ht="19" customHeight="1">
      <c r="B28" s="47" t="n"/>
      <c r="C28" s="48" t="n"/>
      <c r="D28" s="49" t="n"/>
      <c r="E28" s="50" t="n"/>
      <c r="F28" s="51">
        <f>IF(OR(D28="",E28=""),"",D28/(1-E28))</f>
        <v/>
      </c>
      <c r="G28" s="49" t="n"/>
      <c r="H28" s="52">
        <f>IF(OR(G28="",D28=""),"",(G28-D28)/G28)</f>
        <v/>
      </c>
      <c r="I28" s="53">
        <f>IF(OR(H28="",E28=""),"",IF(H28&lt;E28,"LOW","OK"))</f>
        <v/>
      </c>
    </row>
    <row r="29" ht="19" customHeight="1">
      <c r="B29" s="54" t="n"/>
      <c r="C29" s="55" t="n"/>
      <c r="D29" s="49" t="n"/>
      <c r="E29" s="50" t="n"/>
      <c r="F29" s="51">
        <f>IF(OR(D29="",E29=""),"",D29/(1-E29))</f>
        <v/>
      </c>
      <c r="G29" s="49" t="n"/>
      <c r="H29" s="52">
        <f>IF(OR(G29="",D29=""),"",(G29-D29)/G29)</f>
        <v/>
      </c>
      <c r="I29" s="56">
        <f>IF(OR(H29="",E29=""),"",IF(H29&lt;E29,"LOW","OK"))</f>
        <v/>
      </c>
    </row>
    <row r="30">
      <c r="B30" s="57" t="inlineStr">
        <is>
          <t>Average real margin</t>
        </is>
      </c>
      <c r="H30" s="46">
        <f>IFERROR(AVERAGEIF(H8:H29,"&lt;&gt;",H8:H29),0)</f>
        <v/>
      </c>
    </row>
    <row r="31">
      <c r="B31" s="57" t="inlineStr">
        <is>
          <t>Items below target</t>
        </is>
      </c>
      <c r="H31" s="58">
        <f>COUNTIF(I8:I29,"LOW")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"LOW"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D6CDF"/>
    <outlinePr summaryBelow="1" summaryRight="1"/>
    <pageSetUpPr/>
  </sheetPr>
  <dimension ref="A1:I27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6" customWidth="1" min="2" max="2"/>
    <col width="11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5" customWidth="1" min="9" max="9"/>
  </cols>
  <sheetData>
    <row r="1" ht="38" customHeight="1">
      <c r="B1" s="1" t="inlineStr">
        <is>
          <t>Stock</t>
        </is>
      </c>
    </row>
    <row r="2" ht="20" customHeight="1">
      <c r="B2" s="2" t="inlineStr">
        <is>
          <t>Usage and loss value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Business name</t>
        </is>
      </c>
      <c r="C5" s="13" t="n"/>
    </row>
    <row r="6" ht="20" customHeight="1">
      <c r="B6" s="11" t="inlineStr">
        <is>
          <t>Period</t>
        </is>
      </c>
      <c r="C6" s="12" t="n"/>
    </row>
    <row r="7" ht="30" customHeight="1">
      <c r="B7" s="9" t="inlineStr">
        <is>
          <t xml:space="preserve">  Loss value is calculated automatically. High losses are highlighted — act on leaks.</t>
        </is>
      </c>
    </row>
    <row r="8" ht="30" customHeight="1">
      <c r="B8" s="15" t="inlineStr">
        <is>
          <t>Item</t>
        </is>
      </c>
      <c r="C8" s="15" t="inlineStr">
        <is>
          <t>Unit</t>
        </is>
      </c>
      <c r="D8" s="15" t="inlineStr">
        <is>
          <t>Opening</t>
        </is>
      </c>
      <c r="E8" s="15" t="inlineStr">
        <is>
          <t>Purchases</t>
        </is>
      </c>
      <c r="F8" s="15" t="inlineStr">
        <is>
          <t>Closing</t>
        </is>
      </c>
      <c r="G8" s="15" t="inlineStr">
        <is>
          <t>Losses (qty)</t>
        </is>
      </c>
      <c r="H8" s="15" t="inlineStr">
        <is>
          <t>Unit price €</t>
        </is>
      </c>
      <c r="I8" s="15" t="inlineStr">
        <is>
          <t>Value — losses €</t>
        </is>
      </c>
    </row>
    <row r="9" ht="19" customHeight="1">
      <c r="B9" s="47" t="inlineStr">
        <is>
          <t>Draught beer</t>
        </is>
      </c>
      <c r="C9" s="48" t="n"/>
      <c r="D9" s="18" t="n"/>
      <c r="E9" s="18" t="n"/>
      <c r="F9" s="18" t="n"/>
      <c r="G9" s="18" t="n"/>
      <c r="H9" s="49" t="n"/>
      <c r="I9" s="51">
        <f>IF(OR(G9="",H9=""),"",G9*H9)</f>
        <v/>
      </c>
    </row>
    <row r="10" ht="19" customHeight="1">
      <c r="B10" s="54" t="inlineStr">
        <is>
          <t>House red wine</t>
        </is>
      </c>
      <c r="C10" s="55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47" t="inlineStr">
        <is>
          <t>Fresh fish</t>
        </is>
      </c>
      <c r="C11" s="4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4" t="inlineStr">
        <is>
          <t>Rib-eye steak</t>
        </is>
      </c>
      <c r="C12" s="55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47" t="inlineStr">
        <is>
          <t>Milk</t>
        </is>
      </c>
      <c r="C13" s="4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4" t="n"/>
      <c r="C14" s="55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47" t="n"/>
      <c r="C15" s="4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4" t="n"/>
      <c r="C16" s="55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47" t="n"/>
      <c r="C17" s="4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4" t="n"/>
      <c r="C18" s="55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47" t="n"/>
      <c r="C19" s="4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4" t="n"/>
      <c r="C20" s="55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47" t="n"/>
      <c r="C21" s="4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4" t="n"/>
      <c r="C22" s="55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47" t="n"/>
      <c r="C23" s="4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4" t="n"/>
      <c r="C24" s="55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47" t="n"/>
      <c r="C25" s="4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4" t="n"/>
      <c r="C26" s="55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>
      <c r="B27" s="57" t="inlineStr">
        <is>
          <t>Losses — total</t>
        </is>
      </c>
      <c r="I27" s="42">
        <f>SUM(I9:I26)</f>
        <v/>
      </c>
    </row>
  </sheetData>
  <mergeCells count="5">
    <mergeCell ref="C6:D6"/>
    <mergeCell ref="C5:E5"/>
    <mergeCell ref="B7:I7"/>
    <mergeCell ref="B2:I2"/>
    <mergeCell ref="B1:I1"/>
  </mergeCells>
  <conditionalFormatting sqref="I9:I26">
    <cfRule type="cellIs" priority="1" operator="greaterThan" dxfId="1">
      <formula>50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5A38C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Rota</t>
        </is>
      </c>
    </row>
    <row r="2" ht="20" customHeight="1">
      <c r="B2" s="2" t="inlineStr">
        <is>
          <t>Shifts and labour cost share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Business name</t>
        </is>
      </c>
      <c r="C5" s="13" t="n"/>
    </row>
    <row r="6" ht="20" customHeight="1">
      <c r="B6" s="11" t="inlineStr">
        <is>
          <t>Week of</t>
        </is>
      </c>
      <c r="C6" s="12" t="n"/>
    </row>
    <row r="7" ht="20" customHeight="1">
      <c r="B7" s="11" t="inlineStr">
        <is>
          <t>Revenue plan €</t>
        </is>
      </c>
      <c r="C7" s="41" t="n"/>
    </row>
    <row r="8" ht="30" customHeight="1">
      <c r="B8" s="9" t="inlineStr">
        <is>
          <t xml:space="preserve">  Cost = hours × rate. Target for this sector is usually ~35% of revenue.</t>
        </is>
      </c>
    </row>
    <row r="9" ht="30" customHeight="1">
      <c r="B9" s="15" t="inlineStr">
        <is>
          <t>Role</t>
        </is>
      </c>
      <c r="C9" s="15" t="inlineStr">
        <is>
          <t>Position</t>
        </is>
      </c>
      <c r="D9" s="15" t="inlineStr">
        <is>
          <t>Day</t>
        </is>
      </c>
      <c r="E9" s="15" t="inlineStr">
        <is>
          <t>From</t>
        </is>
      </c>
      <c r="F9" s="15" t="inlineStr">
        <is>
          <t>To</t>
        </is>
      </c>
      <c r="G9" s="15" t="inlineStr">
        <is>
          <t>Hours</t>
        </is>
      </c>
      <c r="H9" s="15" t="inlineStr">
        <is>
          <t>Rate €/h</t>
        </is>
      </c>
      <c r="I9" s="15" t="inlineStr">
        <is>
          <t>Cost €</t>
        </is>
      </c>
    </row>
    <row r="10" ht="19" customHeight="1">
      <c r="B10" s="59" t="n"/>
      <c r="C10" s="18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59" t="n"/>
      <c r="C11" s="1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9" t="n"/>
      <c r="C12" s="18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59" t="n"/>
      <c r="C13" s="1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9" t="n"/>
      <c r="C14" s="18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59" t="n"/>
      <c r="C15" s="1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9" t="n"/>
      <c r="C16" s="18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59" t="n"/>
      <c r="C17" s="1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9" t="n"/>
      <c r="C18" s="18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59" t="n"/>
      <c r="C19" s="1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9" t="n"/>
      <c r="C20" s="18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59" t="n"/>
      <c r="C21" s="1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9" t="n"/>
      <c r="C22" s="18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59" t="n"/>
      <c r="C23" s="1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9" t="n"/>
      <c r="C24" s="18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59" t="n"/>
      <c r="C25" s="1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9" t="n"/>
      <c r="C26" s="18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 ht="19" customHeight="1">
      <c r="B27" s="59" t="n"/>
      <c r="C27" s="18" t="n"/>
      <c r="D27" s="18" t="n"/>
      <c r="E27" s="18" t="n"/>
      <c r="F27" s="18" t="n"/>
      <c r="G27" s="18" t="n"/>
      <c r="H27" s="49" t="n"/>
      <c r="I27" s="51">
        <f>IF(OR(G27="",H27=""),"",G27*H27)</f>
        <v/>
      </c>
    </row>
    <row r="28" ht="19" customHeight="1">
      <c r="B28" s="59" t="n"/>
      <c r="C28" s="18" t="n"/>
      <c r="D28" s="18" t="n"/>
      <c r="E28" s="18" t="n"/>
      <c r="F28" s="18" t="n"/>
      <c r="G28" s="18" t="n"/>
      <c r="H28" s="49" t="n"/>
      <c r="I28" s="51">
        <f>IF(OR(G28="",H28=""),"",G28*H28)</f>
        <v/>
      </c>
    </row>
    <row r="29" ht="19" customHeight="1">
      <c r="B29" s="59" t="n"/>
      <c r="C29" s="18" t="n"/>
      <c r="D29" s="18" t="n"/>
      <c r="E29" s="18" t="n"/>
      <c r="F29" s="18" t="n"/>
      <c r="G29" s="18" t="n"/>
      <c r="H29" s="49" t="n"/>
      <c r="I29" s="51">
        <f>IF(OR(G29="",H29=""),"",G29*H29)</f>
        <v/>
      </c>
    </row>
    <row r="30">
      <c r="B30" s="57" t="inlineStr">
        <is>
          <t>Total labour cost</t>
        </is>
      </c>
      <c r="I30" s="42">
        <f>SUM(I10:I29)</f>
        <v/>
      </c>
    </row>
    <row r="31">
      <c r="B31" s="57" t="inlineStr">
        <is>
          <t>Labour as % of revenue</t>
        </is>
      </c>
      <c r="I31" s="4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0.35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"Mon,Tue,Wed,Thu,Fri,Sat,Sun"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D6CDF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5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Takings</t>
        </is>
      </c>
    </row>
    <row r="2" ht="20" customHeight="1">
      <c r="B2" s="2" t="inlineStr">
        <is>
          <t>Daily takings and cash-up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Business name</t>
        </is>
      </c>
      <c r="C5" s="13" t="n"/>
    </row>
    <row r="6" ht="20" customHeight="1">
      <c r="B6" s="11" t="inlineStr">
        <is>
          <t>Month</t>
        </is>
      </c>
      <c r="C6" s="13" t="n"/>
    </row>
    <row r="7" ht="30" customHeight="1">
      <c r="B7" s="9" t="inlineStr">
        <is>
          <t xml:space="preserve">  Sources: Z-reading · cash · cards. Difference = (cash + cards) − Z-reading; non-zero values are highlighted.</t>
        </is>
      </c>
    </row>
    <row r="8" ht="30" customHeight="1">
      <c r="B8" s="15" t="inlineStr">
        <is>
          <t>Date</t>
        </is>
      </c>
      <c r="C8" s="15" t="inlineStr">
        <is>
          <t>Z-reading €</t>
        </is>
      </c>
      <c r="D8" s="15" t="inlineStr">
        <is>
          <t>Cash €</t>
        </is>
      </c>
      <c r="E8" s="15" t="inlineStr">
        <is>
          <t>Cards €</t>
        </is>
      </c>
      <c r="F8" s="15" t="inlineStr">
        <is>
          <t>Deposit €</t>
        </is>
      </c>
      <c r="G8" s="15" t="inlineStr">
        <is>
          <t>Counted total €</t>
        </is>
      </c>
      <c r="H8" s="15" t="inlineStr">
        <is>
          <t>Difference €</t>
        </is>
      </c>
      <c r="I8" s="15" t="inlineStr">
        <is>
          <t>Checked by</t>
        </is>
      </c>
    </row>
    <row r="9" ht="19" customHeight="1">
      <c r="B9" s="60" t="n"/>
      <c r="C9" s="49" t="n"/>
      <c r="D9" s="49" t="n"/>
      <c r="E9" s="49" t="n"/>
      <c r="F9" s="49" t="n"/>
      <c r="G9" s="51">
        <f>IF(AND(D9="",E9=""),"",D9+E9)</f>
        <v/>
      </c>
      <c r="H9" s="51">
        <f>IF(OR(C9="",G9=""),"",G9-C9)</f>
        <v/>
      </c>
      <c r="I9" s="18" t="n"/>
    </row>
    <row r="10" ht="19" customHeight="1">
      <c r="B10" s="60" t="n"/>
      <c r="C10" s="49" t="n"/>
      <c r="D10" s="49" t="n"/>
      <c r="E10" s="49" t="n"/>
      <c r="F10" s="49" t="n"/>
      <c r="G10" s="51">
        <f>IF(AND(D10="",E10=""),"",D10+E10)</f>
        <v/>
      </c>
      <c r="H10" s="51">
        <f>IF(OR(C10="",G10=""),"",G10-C10)</f>
        <v/>
      </c>
      <c r="I10" s="18" t="n"/>
    </row>
    <row r="11" ht="19" customHeight="1">
      <c r="B11" s="60" t="n"/>
      <c r="C11" s="49" t="n"/>
      <c r="D11" s="49" t="n"/>
      <c r="E11" s="49" t="n"/>
      <c r="F11" s="49" t="n"/>
      <c r="G11" s="51">
        <f>IF(AND(D11="",E11=""),"",D11+E11)</f>
        <v/>
      </c>
      <c r="H11" s="51">
        <f>IF(OR(C11="",G11=""),"",G11-C11)</f>
        <v/>
      </c>
      <c r="I11" s="18" t="n"/>
    </row>
    <row r="12" ht="19" customHeight="1">
      <c r="B12" s="60" t="n"/>
      <c r="C12" s="49" t="n"/>
      <c r="D12" s="49" t="n"/>
      <c r="E12" s="49" t="n"/>
      <c r="F12" s="49" t="n"/>
      <c r="G12" s="51">
        <f>IF(AND(D12="",E12=""),"",D12+E12)</f>
        <v/>
      </c>
      <c r="H12" s="51">
        <f>IF(OR(C12="",G12=""),"",G12-C12)</f>
        <v/>
      </c>
      <c r="I12" s="18" t="n"/>
    </row>
    <row r="13" ht="19" customHeight="1">
      <c r="B13" s="60" t="n"/>
      <c r="C13" s="49" t="n"/>
      <c r="D13" s="49" t="n"/>
      <c r="E13" s="49" t="n"/>
      <c r="F13" s="49" t="n"/>
      <c r="G13" s="51">
        <f>IF(AND(D13="",E13=""),"",D13+E13)</f>
        <v/>
      </c>
      <c r="H13" s="51">
        <f>IF(OR(C13="",G13=""),"",G13-C13)</f>
        <v/>
      </c>
      <c r="I13" s="18" t="n"/>
    </row>
    <row r="14" ht="19" customHeight="1">
      <c r="B14" s="60" t="n"/>
      <c r="C14" s="49" t="n"/>
      <c r="D14" s="49" t="n"/>
      <c r="E14" s="49" t="n"/>
      <c r="F14" s="49" t="n"/>
      <c r="G14" s="51">
        <f>IF(AND(D14="",E14=""),"",D14+E14)</f>
        <v/>
      </c>
      <c r="H14" s="51">
        <f>IF(OR(C14="",G14=""),"",G14-C14)</f>
        <v/>
      </c>
      <c r="I14" s="18" t="n"/>
    </row>
    <row r="15" ht="19" customHeight="1">
      <c r="B15" s="60" t="n"/>
      <c r="C15" s="49" t="n"/>
      <c r="D15" s="49" t="n"/>
      <c r="E15" s="49" t="n"/>
      <c r="F15" s="49" t="n"/>
      <c r="G15" s="51">
        <f>IF(AND(D15="",E15=""),"",D15+E15)</f>
        <v/>
      </c>
      <c r="H15" s="51">
        <f>IF(OR(C15="",G15=""),"",G15-C15)</f>
        <v/>
      </c>
      <c r="I15" s="18" t="n"/>
    </row>
    <row r="16" ht="19" customHeight="1">
      <c r="B16" s="60" t="n"/>
      <c r="C16" s="49" t="n"/>
      <c r="D16" s="49" t="n"/>
      <c r="E16" s="49" t="n"/>
      <c r="F16" s="49" t="n"/>
      <c r="G16" s="51">
        <f>IF(AND(D16="",E16=""),"",D16+E16)</f>
        <v/>
      </c>
      <c r="H16" s="51">
        <f>IF(OR(C16="",G16=""),"",G16-C16)</f>
        <v/>
      </c>
      <c r="I16" s="18" t="n"/>
    </row>
    <row r="17" ht="19" customHeight="1">
      <c r="B17" s="60" t="n"/>
      <c r="C17" s="49" t="n"/>
      <c r="D17" s="49" t="n"/>
      <c r="E17" s="49" t="n"/>
      <c r="F17" s="49" t="n"/>
      <c r="G17" s="51">
        <f>IF(AND(D17="",E17=""),"",D17+E17)</f>
        <v/>
      </c>
      <c r="H17" s="51">
        <f>IF(OR(C17="",G17=""),"",G17-C17)</f>
        <v/>
      </c>
      <c r="I17" s="18" t="n"/>
    </row>
    <row r="18" ht="19" customHeight="1">
      <c r="B18" s="60" t="n"/>
      <c r="C18" s="49" t="n"/>
      <c r="D18" s="49" t="n"/>
      <c r="E18" s="49" t="n"/>
      <c r="F18" s="49" t="n"/>
      <c r="G18" s="51">
        <f>IF(AND(D18="",E18=""),"",D18+E18)</f>
        <v/>
      </c>
      <c r="H18" s="51">
        <f>IF(OR(C18="",G18=""),"",G18-C18)</f>
        <v/>
      </c>
      <c r="I18" s="18" t="n"/>
    </row>
    <row r="19" ht="19" customHeight="1">
      <c r="B19" s="60" t="n"/>
      <c r="C19" s="49" t="n"/>
      <c r="D19" s="49" t="n"/>
      <c r="E19" s="49" t="n"/>
      <c r="F19" s="49" t="n"/>
      <c r="G19" s="51">
        <f>IF(AND(D19="",E19=""),"",D19+E19)</f>
        <v/>
      </c>
      <c r="H19" s="51">
        <f>IF(OR(C19="",G19=""),"",G19-C19)</f>
        <v/>
      </c>
      <c r="I19" s="18" t="n"/>
    </row>
    <row r="20" ht="19" customHeight="1">
      <c r="B20" s="60" t="n"/>
      <c r="C20" s="49" t="n"/>
      <c r="D20" s="49" t="n"/>
      <c r="E20" s="49" t="n"/>
      <c r="F20" s="49" t="n"/>
      <c r="G20" s="51">
        <f>IF(AND(D20="",E20=""),"",D20+E20)</f>
        <v/>
      </c>
      <c r="H20" s="51">
        <f>IF(OR(C20="",G20=""),"",G20-C20)</f>
        <v/>
      </c>
      <c r="I20" s="18" t="n"/>
    </row>
    <row r="21" ht="19" customHeight="1">
      <c r="B21" s="60" t="n"/>
      <c r="C21" s="49" t="n"/>
      <c r="D21" s="49" t="n"/>
      <c r="E21" s="49" t="n"/>
      <c r="F21" s="49" t="n"/>
      <c r="G21" s="51">
        <f>IF(AND(D21="",E21=""),"",D21+E21)</f>
        <v/>
      </c>
      <c r="H21" s="51">
        <f>IF(OR(C21="",G21=""),"",G21-C21)</f>
        <v/>
      </c>
      <c r="I21" s="18" t="n"/>
    </row>
    <row r="22" ht="19" customHeight="1">
      <c r="B22" s="60" t="n"/>
      <c r="C22" s="49" t="n"/>
      <c r="D22" s="49" t="n"/>
      <c r="E22" s="49" t="n"/>
      <c r="F22" s="49" t="n"/>
      <c r="G22" s="51">
        <f>IF(AND(D22="",E22=""),"",D22+E22)</f>
        <v/>
      </c>
      <c r="H22" s="51">
        <f>IF(OR(C22="",G22=""),"",G22-C22)</f>
        <v/>
      </c>
      <c r="I22" s="18" t="n"/>
    </row>
    <row r="23" ht="19" customHeight="1">
      <c r="B23" s="60" t="n"/>
      <c r="C23" s="49" t="n"/>
      <c r="D23" s="49" t="n"/>
      <c r="E23" s="49" t="n"/>
      <c r="F23" s="49" t="n"/>
      <c r="G23" s="51">
        <f>IF(AND(D23="",E23=""),"",D23+E23)</f>
        <v/>
      </c>
      <c r="H23" s="51">
        <f>IF(OR(C23="",G23=""),"",G23-C23)</f>
        <v/>
      </c>
      <c r="I23" s="18" t="n"/>
    </row>
    <row r="24" ht="19" customHeight="1">
      <c r="B24" s="60" t="n"/>
      <c r="C24" s="49" t="n"/>
      <c r="D24" s="49" t="n"/>
      <c r="E24" s="49" t="n"/>
      <c r="F24" s="49" t="n"/>
      <c r="G24" s="51">
        <f>IF(AND(D24="",E24=""),"",D24+E24)</f>
        <v/>
      </c>
      <c r="H24" s="51">
        <f>IF(OR(C24="",G24=""),"",G24-C24)</f>
        <v/>
      </c>
      <c r="I24" s="18" t="n"/>
    </row>
    <row r="25" ht="19" customHeight="1">
      <c r="B25" s="60" t="n"/>
      <c r="C25" s="49" t="n"/>
      <c r="D25" s="49" t="n"/>
      <c r="E25" s="49" t="n"/>
      <c r="F25" s="49" t="n"/>
      <c r="G25" s="51">
        <f>IF(AND(D25="",E25=""),"",D25+E25)</f>
        <v/>
      </c>
      <c r="H25" s="51">
        <f>IF(OR(C25="",G25=""),"",G25-C25)</f>
        <v/>
      </c>
      <c r="I25" s="18" t="n"/>
    </row>
    <row r="26" ht="19" customHeight="1">
      <c r="B26" s="60" t="n"/>
      <c r="C26" s="49" t="n"/>
      <c r="D26" s="49" t="n"/>
      <c r="E26" s="49" t="n"/>
      <c r="F26" s="49" t="n"/>
      <c r="G26" s="51">
        <f>IF(AND(D26="",E26=""),"",D26+E26)</f>
        <v/>
      </c>
      <c r="H26" s="51">
        <f>IF(OR(C26="",G26=""),"",G26-C26)</f>
        <v/>
      </c>
      <c r="I26" s="18" t="n"/>
    </row>
    <row r="27" ht="19" customHeight="1">
      <c r="B27" s="60" t="n"/>
      <c r="C27" s="49" t="n"/>
      <c r="D27" s="49" t="n"/>
      <c r="E27" s="49" t="n"/>
      <c r="F27" s="49" t="n"/>
      <c r="G27" s="51">
        <f>IF(AND(D27="",E27=""),"",D27+E27)</f>
        <v/>
      </c>
      <c r="H27" s="51">
        <f>IF(OR(C27="",G27=""),"",G27-C27)</f>
        <v/>
      </c>
      <c r="I27" s="18" t="n"/>
    </row>
    <row r="28" ht="19" customHeight="1">
      <c r="B28" s="60" t="n"/>
      <c r="C28" s="49" t="n"/>
      <c r="D28" s="49" t="n"/>
      <c r="E28" s="49" t="n"/>
      <c r="F28" s="49" t="n"/>
      <c r="G28" s="51">
        <f>IF(AND(D28="",E28=""),"",D28+E28)</f>
        <v/>
      </c>
      <c r="H28" s="51">
        <f>IF(OR(C28="",G28=""),"",G28-C28)</f>
        <v/>
      </c>
      <c r="I28" s="18" t="n"/>
    </row>
    <row r="29" ht="19" customHeight="1">
      <c r="B29" s="60" t="n"/>
      <c r="C29" s="49" t="n"/>
      <c r="D29" s="49" t="n"/>
      <c r="E29" s="49" t="n"/>
      <c r="F29" s="49" t="n"/>
      <c r="G29" s="51">
        <f>IF(AND(D29="",E29=""),"",D29+E29)</f>
        <v/>
      </c>
      <c r="H29" s="51">
        <f>IF(OR(C29="",G29=""),"",G29-C29)</f>
        <v/>
      </c>
      <c r="I29" s="18" t="n"/>
    </row>
    <row r="30" ht="19" customHeight="1">
      <c r="B30" s="60" t="n"/>
      <c r="C30" s="49" t="n"/>
      <c r="D30" s="49" t="n"/>
      <c r="E30" s="49" t="n"/>
      <c r="F30" s="49" t="n"/>
      <c r="G30" s="51">
        <f>IF(AND(D30="",E30=""),"",D30+E30)</f>
        <v/>
      </c>
      <c r="H30" s="51">
        <f>IF(OR(C30="",G30=""),"",G30-C30)</f>
        <v/>
      </c>
      <c r="I30" s="18" t="n"/>
    </row>
    <row r="31" ht="19" customHeight="1">
      <c r="B31" s="60" t="n"/>
      <c r="C31" s="49" t="n"/>
      <c r="D31" s="49" t="n"/>
      <c r="E31" s="49" t="n"/>
      <c r="F31" s="49" t="n"/>
      <c r="G31" s="51">
        <f>IF(AND(D31="",E31=""),"",D31+E31)</f>
        <v/>
      </c>
      <c r="H31" s="51">
        <f>IF(OR(C31="",G31=""),"",G31-C31)</f>
        <v/>
      </c>
      <c r="I31" s="18" t="n"/>
    </row>
    <row r="32" ht="19" customHeight="1">
      <c r="B32" s="60" t="n"/>
      <c r="C32" s="49" t="n"/>
      <c r="D32" s="49" t="n"/>
      <c r="E32" s="49" t="n"/>
      <c r="F32" s="49" t="n"/>
      <c r="G32" s="51">
        <f>IF(AND(D32="",E32=""),"",D32+E32)</f>
        <v/>
      </c>
      <c r="H32" s="51">
        <f>IF(OR(C32="",G32=""),"",G32-C32)</f>
        <v/>
      </c>
      <c r="I32" s="18" t="n"/>
    </row>
    <row r="33" ht="19" customHeight="1">
      <c r="B33" s="60" t="n"/>
      <c r="C33" s="49" t="n"/>
      <c r="D33" s="49" t="n"/>
      <c r="E33" s="49" t="n"/>
      <c r="F33" s="49" t="n"/>
      <c r="G33" s="51">
        <f>IF(AND(D33="",E33=""),"",D33+E33)</f>
        <v/>
      </c>
      <c r="H33" s="51">
        <f>IF(OR(C33="",G33=""),"",G33-C33)</f>
        <v/>
      </c>
      <c r="I33" s="18" t="n"/>
    </row>
    <row r="34" ht="19" customHeight="1">
      <c r="B34" s="60" t="n"/>
      <c r="C34" s="49" t="n"/>
      <c r="D34" s="49" t="n"/>
      <c r="E34" s="49" t="n"/>
      <c r="F34" s="49" t="n"/>
      <c r="G34" s="51">
        <f>IF(AND(D34="",E34=""),"",D34+E34)</f>
        <v/>
      </c>
      <c r="H34" s="51">
        <f>IF(OR(C34="",G34=""),"",G34-C34)</f>
        <v/>
      </c>
      <c r="I34" s="18" t="n"/>
    </row>
    <row r="35" ht="19" customHeight="1">
      <c r="B35" s="60" t="n"/>
      <c r="C35" s="49" t="n"/>
      <c r="D35" s="49" t="n"/>
      <c r="E35" s="49" t="n"/>
      <c r="F35" s="49" t="n"/>
      <c r="G35" s="51">
        <f>IF(AND(D35="",E35=""),"",D35+E35)</f>
        <v/>
      </c>
      <c r="H35" s="51">
        <f>IF(OR(C35="",G35=""),"",G35-C35)</f>
        <v/>
      </c>
      <c r="I35" s="18" t="n"/>
    </row>
    <row r="36" ht="19" customHeight="1">
      <c r="B36" s="60" t="n"/>
      <c r="C36" s="49" t="n"/>
      <c r="D36" s="49" t="n"/>
      <c r="E36" s="49" t="n"/>
      <c r="F36" s="49" t="n"/>
      <c r="G36" s="51">
        <f>IF(AND(D36="",E36=""),"",D36+E36)</f>
        <v/>
      </c>
      <c r="H36" s="51">
        <f>IF(OR(C36="",G36=""),"",G36-C36)</f>
        <v/>
      </c>
      <c r="I36" s="18" t="n"/>
    </row>
    <row r="37" ht="19" customHeight="1">
      <c r="B37" s="60" t="n"/>
      <c r="C37" s="49" t="n"/>
      <c r="D37" s="49" t="n"/>
      <c r="E37" s="49" t="n"/>
      <c r="F37" s="49" t="n"/>
      <c r="G37" s="51">
        <f>IF(AND(D37="",E37=""),"",D37+E37)</f>
        <v/>
      </c>
      <c r="H37" s="51">
        <f>IF(OR(C37="",G37=""),"",G37-C37)</f>
        <v/>
      </c>
      <c r="I37" s="18" t="n"/>
    </row>
    <row r="38" ht="19" customHeight="1">
      <c r="B38" s="60" t="n"/>
      <c r="C38" s="49" t="n"/>
      <c r="D38" s="49" t="n"/>
      <c r="E38" s="49" t="n"/>
      <c r="F38" s="49" t="n"/>
      <c r="G38" s="51">
        <f>IF(AND(D38="",E38=""),"",D38+E38)</f>
        <v/>
      </c>
      <c r="H38" s="51">
        <f>IF(OR(C38="",G38=""),"",G38-C38)</f>
        <v/>
      </c>
      <c r="I38" s="18" t="n"/>
    </row>
    <row r="39" ht="19" customHeight="1">
      <c r="B39" s="60" t="n"/>
      <c r="C39" s="49" t="n"/>
      <c r="D39" s="49" t="n"/>
      <c r="E39" s="49" t="n"/>
      <c r="F39" s="49" t="n"/>
      <c r="G39" s="51">
        <f>IF(AND(D39="",E39=""),"",D39+E39)</f>
        <v/>
      </c>
      <c r="H39" s="51">
        <f>IF(OR(C39="",G39=""),"",G39-C39)</f>
        <v/>
      </c>
      <c r="I39" s="18" t="n"/>
    </row>
    <row r="40">
      <c r="B40" s="57" t="inlineStr">
        <is>
          <t>Total (year)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2B45"/>
    <outlinePr summaryBelow="1" summaryRight="1"/>
    <pageSetUpPr/>
  </sheetPr>
  <dimension ref="A1:J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</cols>
  <sheetData>
    <row r="1" ht="38" customHeight="1">
      <c r="B1" s="1" t="inlineStr">
        <is>
          <t>Training</t>
        </is>
      </c>
    </row>
    <row r="2" ht="20" customHeight="1">
      <c r="B2" s="2" t="inlineStr">
        <is>
          <t>Training matrix — proof before a shift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/>
    <row r="5" ht="20" customHeight="1">
      <c r="B5" s="11" t="inlineStr">
        <is>
          <t>Business name</t>
        </is>
      </c>
      <c r="C5" s="13" t="n"/>
    </row>
    <row r="6" ht="30" customHeight="1">
      <c r="B6" s="9" t="inlineStr">
        <is>
          <t xml:space="preserve">  Enter the date completed (DD/MM/YYYY). Empty cell = missing training before work.</t>
        </is>
      </c>
    </row>
    <row r="7" ht="34" customHeight="1">
      <c r="B7" s="15" t="inlineStr">
        <is>
          <t>Employee</t>
        </is>
      </c>
      <c r="C7" s="15" t="inlineStr">
        <is>
          <t>Start</t>
        </is>
      </c>
      <c r="D7" s="15" t="inlineStr">
        <is>
          <t>Induction</t>
        </is>
      </c>
      <c r="E7" s="15" t="inlineStr">
        <is>
          <t>Manual handling</t>
        </is>
      </c>
      <c r="F7" s="15" t="inlineStr">
        <is>
          <t>Food hygiene</t>
        </is>
      </c>
      <c r="G7" s="15" t="inlineStr">
        <is>
          <t>Allergens</t>
        </is>
      </c>
      <c r="H7" s="15" t="inlineStr">
        <is>
          <t>Fire safety</t>
        </is>
      </c>
      <c r="I7" s="15" t="inlineStr">
        <is>
          <t>H&amp;S / first aid</t>
        </is>
      </c>
      <c r="J7" s="15" t="inlineStr">
        <is>
          <t>Refresher</t>
        </is>
      </c>
    </row>
    <row r="8" ht="19" customHeight="1">
      <c r="B8" s="59" t="n"/>
      <c r="C8" s="61" t="n"/>
      <c r="D8" s="61" t="n"/>
      <c r="E8" s="61" t="n"/>
      <c r="F8" s="61" t="n"/>
      <c r="G8" s="61" t="n"/>
      <c r="H8" s="61" t="n"/>
      <c r="I8" s="61" t="n"/>
      <c r="J8" s="48" t="n"/>
    </row>
    <row r="9" ht="19" customHeight="1">
      <c r="B9" s="59" t="n"/>
      <c r="C9" s="61" t="n"/>
      <c r="D9" s="61" t="n"/>
      <c r="E9" s="61" t="n"/>
      <c r="F9" s="61" t="n"/>
      <c r="G9" s="61" t="n"/>
      <c r="H9" s="61" t="n"/>
      <c r="I9" s="61" t="n"/>
      <c r="J9" s="55" t="n"/>
    </row>
    <row r="10" ht="19" customHeight="1">
      <c r="B10" s="59" t="n"/>
      <c r="C10" s="61" t="n"/>
      <c r="D10" s="61" t="n"/>
      <c r="E10" s="61" t="n"/>
      <c r="F10" s="61" t="n"/>
      <c r="G10" s="61" t="n"/>
      <c r="H10" s="61" t="n"/>
      <c r="I10" s="61" t="n"/>
      <c r="J10" s="48" t="n"/>
    </row>
    <row r="11" ht="19" customHeight="1">
      <c r="B11" s="59" t="n"/>
      <c r="C11" s="61" t="n"/>
      <c r="D11" s="61" t="n"/>
      <c r="E11" s="61" t="n"/>
      <c r="F11" s="61" t="n"/>
      <c r="G11" s="61" t="n"/>
      <c r="H11" s="61" t="n"/>
      <c r="I11" s="61" t="n"/>
      <c r="J11" s="55" t="n"/>
    </row>
    <row r="12" ht="19" customHeight="1">
      <c r="B12" s="59" t="n"/>
      <c r="C12" s="61" t="n"/>
      <c r="D12" s="61" t="n"/>
      <c r="E12" s="61" t="n"/>
      <c r="F12" s="61" t="n"/>
      <c r="G12" s="61" t="n"/>
      <c r="H12" s="61" t="n"/>
      <c r="I12" s="61" t="n"/>
      <c r="J12" s="48" t="n"/>
    </row>
    <row r="13" ht="19" customHeight="1">
      <c r="B13" s="59" t="n"/>
      <c r="C13" s="61" t="n"/>
      <c r="D13" s="61" t="n"/>
      <c r="E13" s="61" t="n"/>
      <c r="F13" s="61" t="n"/>
      <c r="G13" s="61" t="n"/>
      <c r="H13" s="61" t="n"/>
      <c r="I13" s="61" t="n"/>
      <c r="J13" s="55" t="n"/>
    </row>
    <row r="14" ht="19" customHeight="1">
      <c r="B14" s="59" t="n"/>
      <c r="C14" s="61" t="n"/>
      <c r="D14" s="61" t="n"/>
      <c r="E14" s="61" t="n"/>
      <c r="F14" s="61" t="n"/>
      <c r="G14" s="61" t="n"/>
      <c r="H14" s="61" t="n"/>
      <c r="I14" s="61" t="n"/>
      <c r="J14" s="48" t="n"/>
    </row>
    <row r="15" ht="19" customHeight="1">
      <c r="B15" s="59" t="n"/>
      <c r="C15" s="61" t="n"/>
      <c r="D15" s="61" t="n"/>
      <c r="E15" s="61" t="n"/>
      <c r="F15" s="61" t="n"/>
      <c r="G15" s="61" t="n"/>
      <c r="H15" s="61" t="n"/>
      <c r="I15" s="61" t="n"/>
      <c r="J15" s="55" t="n"/>
    </row>
    <row r="16" ht="19" customHeight="1">
      <c r="B16" s="59" t="n"/>
      <c r="C16" s="61" t="n"/>
      <c r="D16" s="61" t="n"/>
      <c r="E16" s="61" t="n"/>
      <c r="F16" s="61" t="n"/>
      <c r="G16" s="61" t="n"/>
      <c r="H16" s="61" t="n"/>
      <c r="I16" s="61" t="n"/>
      <c r="J16" s="48" t="n"/>
    </row>
    <row r="17" ht="19" customHeight="1">
      <c r="B17" s="59" t="n"/>
      <c r="C17" s="61" t="n"/>
      <c r="D17" s="61" t="n"/>
      <c r="E17" s="61" t="n"/>
      <c r="F17" s="61" t="n"/>
      <c r="G17" s="61" t="n"/>
      <c r="H17" s="61" t="n"/>
      <c r="I17" s="61" t="n"/>
      <c r="J17" s="55" t="n"/>
    </row>
    <row r="18" ht="19" customHeight="1">
      <c r="B18" s="59" t="n"/>
      <c r="C18" s="61" t="n"/>
      <c r="D18" s="61" t="n"/>
      <c r="E18" s="61" t="n"/>
      <c r="F18" s="61" t="n"/>
      <c r="G18" s="61" t="n"/>
      <c r="H18" s="61" t="n"/>
      <c r="I18" s="61" t="n"/>
      <c r="J18" s="48" t="n"/>
    </row>
    <row r="19" ht="19" customHeight="1">
      <c r="B19" s="59" t="n"/>
      <c r="C19" s="61" t="n"/>
      <c r="D19" s="61" t="n"/>
      <c r="E19" s="61" t="n"/>
      <c r="F19" s="61" t="n"/>
      <c r="G19" s="61" t="n"/>
      <c r="H19" s="61" t="n"/>
      <c r="I19" s="61" t="n"/>
      <c r="J19" s="55" t="n"/>
    </row>
    <row r="20" ht="19" customHeight="1">
      <c r="B20" s="59" t="n"/>
      <c r="C20" s="61" t="n"/>
      <c r="D20" s="61" t="n"/>
      <c r="E20" s="61" t="n"/>
      <c r="F20" s="61" t="n"/>
      <c r="G20" s="61" t="n"/>
      <c r="H20" s="61" t="n"/>
      <c r="I20" s="61" t="n"/>
      <c r="J20" s="48" t="n"/>
    </row>
    <row r="21" ht="19" customHeight="1">
      <c r="B21" s="59" t="n"/>
      <c r="C21" s="61" t="n"/>
      <c r="D21" s="61" t="n"/>
      <c r="E21" s="61" t="n"/>
      <c r="F21" s="61" t="n"/>
      <c r="G21" s="61" t="n"/>
      <c r="H21" s="61" t="n"/>
      <c r="I21" s="61" t="n"/>
      <c r="J21" s="55" t="n"/>
    </row>
    <row r="22" ht="19" customHeight="1">
      <c r="B22" s="59" t="n"/>
      <c r="C22" s="61" t="n"/>
      <c r="D22" s="61" t="n"/>
      <c r="E22" s="61" t="n"/>
      <c r="F22" s="61" t="n"/>
      <c r="G22" s="61" t="n"/>
      <c r="H22" s="61" t="n"/>
      <c r="I22" s="61" t="n"/>
      <c r="J22" s="48" t="n"/>
    </row>
    <row r="23" ht="19" customHeight="1">
      <c r="B23" s="59" t="n"/>
      <c r="C23" s="61" t="n"/>
      <c r="D23" s="61" t="n"/>
      <c r="E23" s="61" t="n"/>
      <c r="F23" s="61" t="n"/>
      <c r="G23" s="61" t="n"/>
      <c r="H23" s="61" t="n"/>
      <c r="I23" s="61" t="n"/>
      <c r="J23" s="55" t="n"/>
    </row>
    <row r="24"/>
    <row r="25" ht="30" customHeight="1">
      <c r="B25" s="62" t="inlineStr">
        <is>
          <t xml:space="preserve">  Note: health &amp; safety law requires staff to be trained for their job — keep the matrix current.</t>
        </is>
      </c>
    </row>
  </sheetData>
  <mergeCells count="5">
    <mergeCell ref="B25:J25"/>
    <mergeCell ref="C5:E5"/>
    <mergeCell ref="B1:J1"/>
    <mergeCell ref="B6:J6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Hospitality / Food service (EN)</dc:title>
  <dcterms:created xsi:type="dcterms:W3CDTF">2026-05-31T12:21:11Z</dcterms:created>
  <dcterms:modified xsi:type="dcterms:W3CDTF">2026-05-31T12:21:11Z</dcterms:modified>
</cp:coreProperties>
</file>