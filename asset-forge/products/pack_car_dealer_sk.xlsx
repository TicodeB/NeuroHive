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vozidlo" sheetId="5" state="visible" r:id="rId5"/>
    <sheet name="05 · Sklad vozidiel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0F1A26"/>
      <sz val="22"/>
    </font>
    <font>
      <name val="Calibri"/>
      <color rgb="006B7280"/>
      <sz val="11"/>
    </font>
    <font>
      <name val="Calibri"/>
      <b val="1"/>
      <color rgb="001C3D5A"/>
      <sz val="10.5"/>
    </font>
    <font>
      <name val="Calibri"/>
      <color rgb="006B7280"/>
      <sz val="10"/>
    </font>
    <font>
      <name val="Calibri"/>
      <color rgb="000F1A26"/>
      <sz val="10"/>
    </font>
    <font>
      <name val="Calibri"/>
      <i val="1"/>
      <color rgb="000F1A26"/>
      <sz val="9.5"/>
    </font>
    <font>
      <name val="Calibri"/>
      <i val="1"/>
      <color rgb="009AA3B0"/>
      <sz val="8"/>
    </font>
    <font>
      <name val="Calibri"/>
      <b val="1"/>
      <color rgb="000F1A26"/>
      <sz val="10"/>
    </font>
    <font>
      <name val="Calibri"/>
      <b val="1"/>
      <color rgb="001C3D5A"/>
      <sz val="11"/>
    </font>
    <font>
      <name val="Calibri"/>
      <b val="1"/>
      <color rgb="00FFFFFF"/>
      <sz val="10"/>
    </font>
    <font>
      <name val="Calibri"/>
      <color rgb="000F1A26"/>
      <sz val="9.5"/>
    </font>
    <font>
      <name val="Calibri"/>
      <b val="1"/>
      <color rgb="006B7280"/>
      <sz val="9.5"/>
    </font>
    <font>
      <name val="Calibri"/>
      <b val="1"/>
      <color rgb="001C3D5A"/>
      <sz val="9.5"/>
    </font>
    <font>
      <name val="Calibri"/>
      <b val="1"/>
      <color rgb="000F1A26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C3D5A"/>
      <sz val="20"/>
    </font>
    <font>
      <name val="Calibri"/>
      <b val="1"/>
      <color rgb="00C0392B"/>
      <sz val="20"/>
    </font>
    <font>
      <name val="Calibri"/>
      <b val="1"/>
      <color rgb="000F1A26"/>
      <sz val="20"/>
    </font>
    <font>
      <name val="Calibri"/>
      <color rgb="000F1A26"/>
      <sz val="10.5"/>
    </font>
  </fonts>
  <fills count="10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C3D5A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0F1A26"/>
      </patternFill>
    </fill>
  </fills>
  <borders count="13">
    <border>
      <left/>
      <right/>
      <top/>
      <bottom/>
      <diagonal/>
    </border>
    <border>
      <bottom style="thin">
        <color rgb="001C3D5A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C0392B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N30" TargetMode="External" Id="rId4" /><Relationship Type="http://schemas.openxmlformats.org/officeDocument/2006/relationships/hyperlink" Target="#'04 &#183; Mar&#382;a na vozidlo'!H30" TargetMode="External" Id="rId5" /><Relationship Type="http://schemas.openxmlformats.org/officeDocument/2006/relationships/hyperlink" Target="#'05 &#183; Sklad vozidiel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0F1A26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Predaj automobilov / autobazár</t>
        </is>
      </c>
    </row>
    <row r="2" ht="20" customHeight="1">
      <c r="B2" s="2" t="inlineStr">
        <is>
          <t>Balík, ktorý ustráži maržu na vozidlo, obrátku skladu a starnutie zásob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vozidlo</t>
        </is>
      </c>
      <c r="C7" s="7" t="inlineStr">
        <is>
          <t>Náklad obstarania a prípravy na vozidlo a marža</t>
        </is>
      </c>
    </row>
    <row r="8" ht="20" customHeight="1">
      <c r="B8" s="6" t="inlineStr">
        <is>
          <t xml:space="preserve">  Sklad vozidiel</t>
        </is>
      </c>
      <c r="C8" s="7" t="inlineStr">
        <is>
          <t>Obrátka skladu a hodnota odpisu (starnutie / zľavy)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Predaj vozidiel a úhrady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obhliadky a skúšobné jazdy</t>
        </is>
      </c>
    </row>
    <row r="15" ht="22" customHeight="1">
      <c r="B15" s="8" t="inlineStr">
        <is>
          <t>•  POČAS DŇA: predaj, protiúčty, financovanie a poistenie</t>
        </is>
      </c>
    </row>
    <row r="16" ht="22" customHeight="1">
      <c r="B16" s="8" t="inlineStr">
        <is>
          <t>•  VEČER: uzávierka + stav skladu vozidiel</t>
        </is>
      </c>
    </row>
    <row r="17" ht="22" customHeight="1">
      <c r="B17" s="8" t="inlineStr">
        <is>
          <t>•  TÝŽDENNE: marža na vozidlo + obrátka a starnutie skladu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vozidlá pripravené (čistota, palivo, EČV)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obhliadky a skúšobné jazdy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a zálohy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stav skladu a starnutie vozidiel skontrolované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kľúče a areál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C3D5A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NA VOZIDLO  ↗</t>
        </is>
      </c>
      <c r="H11" s="29" t="n"/>
      <c r="J11" s="28" t="inlineStr">
        <is>
          <t>HODNOTA ODPISU (STARNUTIE)  ↗</t>
        </is>
      </c>
      <c r="L11" s="29" t="n"/>
    </row>
    <row r="12" ht="22" customHeight="1">
      <c r="B12" s="30">
        <f>IFERROR('03 · Cash flow'!N30,0)</f>
        <v/>
      </c>
      <c r="D12" s="29" t="n"/>
      <c r="F12" s="36">
        <f>IFERROR('04 · Marža na vozidlo'!H30,0)</f>
        <v/>
      </c>
      <c r="H12" s="29" t="n"/>
      <c r="J12" s="32">
        <f>IFERROR('05 · Sklad vozidiel'!I27,0)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vozidiel'!I27,"#,##0.00 €")&amp;".","Straty: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na vozidlo'!H31,"0")&amp;".","Marža: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C3D5A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predaj vozidiel (jazdené)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predaj vozidiel (nové)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financovanie a poistenie (provízie)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servis a doplnky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Nákup vozidiel a protiúčty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Príprava a kondícia (servis, detailing, STK/EK)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 (predajcovia)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Areál a poplatky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Inzercia a 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Poistenie a financovanie skladu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vozidlo</t>
        </is>
      </c>
    </row>
    <row r="2" ht="20" customHeight="1">
      <c r="B2" s="2" t="inlineStr">
        <is>
          <t>Náklad obstarania a prípravy na vozidlo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Vozidlo / model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Malé mestské auto (jazdené)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Rodinný kombi (jazdené)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SUV (jazdené)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Dodávka / úžitkové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Nové vozidlo (objednávka)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Luxusný segment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C3D5A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8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vozidiel</t>
        </is>
      </c>
    </row>
    <row r="2" ht="20" customHeight="1">
      <c r="B2" s="2" t="inlineStr">
        <is>
          <t>Obrátka skladu a hodnota odpisu (starnutie / zľavy)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45" customHeight="1">
      <c r="B8" s="15" t="inlineStr">
        <is>
          <t>Vozidlo / kategória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/ zľava (starnutie) (množ.)</t>
        </is>
      </c>
      <c r="H8" s="15" t="inlineStr">
        <is>
          <t>Cena/jedn. €</t>
        </is>
      </c>
      <c r="I8" s="15" t="inlineStr">
        <is>
          <t>Hodnota — odpis / zľava (starnutie) €</t>
        </is>
      </c>
    </row>
    <row r="9" ht="19" customHeight="1">
      <c r="B9" s="47" t="inlineStr">
        <is>
          <t>Vozidlá do 90 dní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Vozidlá 90–180 dní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Vozidlá nad 180 dní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Protiúčty (na predaj)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Komisný predaj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/ zľava (starnutie)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~15 % tržieb.</t>
        </is>
      </c>
    </row>
    <row r="9" ht="30" customHeight="1">
      <c r="B9" s="15" t="inlineStr">
        <is>
          <t>Pozícia (predajca / mechanik prípravy)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0.15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C3D5A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Predaj vozidiel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Kúpne zmluvy · zálohy · financovanie · hotovosť · prevody.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1A26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6.1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DPH — osobitná úprava (marža) pri jazdených vozidlách</t>
        </is>
      </c>
      <c r="F7" s="15" t="inlineStr">
        <is>
          <t>Limit platby v hotovosti (zákon 394/2012 Z. z.)</t>
        </is>
      </c>
      <c r="G7" s="15" t="inlineStr">
        <is>
          <t>Spotrebiteľské práva a záruka (jazdené vozidlá)</t>
        </is>
      </c>
      <c r="H7" s="15" t="inlineStr">
        <is>
          <t>Ochrana osobných údajov (GDPR)</t>
        </is>
      </c>
      <c r="I7" s="15" t="inlineStr">
        <is>
          <t>AML pri vysokých platbách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Predaj automobilov / autobazár (SK)</dc:title>
  <dcterms:created xsi:type="dcterms:W3CDTF">2026-05-31T19:17:22Z</dcterms:created>
  <dcterms:modified xsi:type="dcterms:W3CDTF">2026-05-31T19:17:22Z</dcterms:modified>
</cp:coreProperties>
</file>