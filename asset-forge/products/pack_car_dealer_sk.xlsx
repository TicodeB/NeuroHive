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 na vozidlo" sheetId="5" state="visible" r:id="rId5"/>
    <sheet name="05 · Sklad vozidiel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0F1A26"/>
      <sz val="22"/>
    </font>
    <font>
      <name val="Calibri"/>
      <color rgb="006B7280"/>
      <sz val="11"/>
    </font>
    <font>
      <name val="Calibri"/>
      <b val="1"/>
      <color rgb="001C3D5A"/>
      <sz val="10.5"/>
    </font>
    <font>
      <name val="Calibri"/>
      <color rgb="006B7280"/>
      <sz val="10"/>
    </font>
    <font>
      <name val="Calibri"/>
      <color rgb="000F1A26"/>
      <sz val="10"/>
    </font>
    <font>
      <name val="Calibri"/>
      <i val="1"/>
      <color rgb="000F1A26"/>
      <sz val="9.5"/>
    </font>
    <font>
      <name val="Calibri"/>
      <i val="1"/>
      <color rgb="009AA3B0"/>
      <sz val="8"/>
    </font>
    <font>
      <name val="Calibri"/>
      <b val="1"/>
      <color rgb="000F1A26"/>
      <sz val="10"/>
    </font>
    <font>
      <name val="Calibri"/>
      <b val="1"/>
      <color rgb="001C3D5A"/>
      <sz val="11"/>
    </font>
    <font>
      <name val="Calibri"/>
      <b val="1"/>
      <color rgb="00FFFFFF"/>
      <sz val="10"/>
    </font>
    <font>
      <name val="Calibri"/>
      <color rgb="000F1A26"/>
      <sz val="9.5"/>
    </font>
    <font>
      <name val="Calibri"/>
      <b val="1"/>
      <color rgb="006B7280"/>
      <sz val="9.5"/>
    </font>
    <font>
      <name val="Calibri"/>
      <b val="1"/>
      <color rgb="001C3D5A"/>
      <sz val="9.5"/>
    </font>
    <font>
      <name val="Calibri"/>
      <b val="1"/>
      <color rgb="000F1A26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1C3D5A"/>
      <sz val="20"/>
    </font>
    <font>
      <name val="Calibri"/>
      <b val="1"/>
      <color rgb="00C0392B"/>
      <sz val="20"/>
    </font>
    <font>
      <name val="Calibri"/>
      <b val="1"/>
      <color rgb="000F1A26"/>
      <sz val="20"/>
    </font>
    <font>
      <name val="Calibri"/>
      <color rgb="000F1A26"/>
      <sz val="10.5"/>
    </font>
  </fonts>
  <fills count="10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1C3D5A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0F1A26"/>
      </patternFill>
    </fill>
  </fills>
  <borders count="13">
    <border>
      <left/>
      <right/>
      <top/>
      <bottom/>
      <diagonal/>
    </border>
    <border>
      <bottom style="thin">
        <color rgb="001C3D5A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C0392B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9" fillId="8" borderId="9" applyAlignment="1" pivotButton="0" quotePrefix="0" xfId="0">
      <alignment horizontal="left" vertical="center" indent="1"/>
    </xf>
    <xf numFmtId="166" fontId="18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165" fontId="11" fillId="3" borderId="4" pivotButton="0" quotePrefix="0" xfId="0"/>
    <xf numFmtId="166" fontId="11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6" fontId="14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3 &#183; Cash flow'!O14" TargetMode="External" Id="rId1" /><Relationship Type="http://schemas.openxmlformats.org/officeDocument/2006/relationships/hyperlink" Target="#'03 &#183; Cash flow'!O19" TargetMode="External" Id="rId2" /><Relationship Type="http://schemas.openxmlformats.org/officeDocument/2006/relationships/hyperlink" Target="#'03 &#183; Cash flow'!O27" TargetMode="External" Id="rId3" /><Relationship Type="http://schemas.openxmlformats.org/officeDocument/2006/relationships/hyperlink" Target="#'03 &#183; Cash flow'!Q14" TargetMode="External" Id="rId4" /><Relationship Type="http://schemas.openxmlformats.org/officeDocument/2006/relationships/hyperlink" Target="#'03 &#183; Cash flow'!N30" TargetMode="External" Id="rId5" /><Relationship Type="http://schemas.openxmlformats.org/officeDocument/2006/relationships/hyperlink" Target="#'04 &#183; Mar&#382;a na vozidlo'!H30" TargetMode="External" Id="rId6" /><Relationship Type="http://schemas.openxmlformats.org/officeDocument/2006/relationships/hyperlink" Target="#'05 &#183; Sklad vozidiel'!I27" TargetMode="External" Id="rId7" /><Relationship Type="http://schemas.openxmlformats.org/officeDocument/2006/relationships/hyperlink" Target="#'06 &#183; Zmeny'!I31" TargetMode="External" Id="rId8" /></Relationships>
</file>

<file path=xl/worksheets/sheet1.xml><?xml version="1.0" encoding="utf-8"?>
<worksheet xmlns="http://schemas.openxmlformats.org/spreadsheetml/2006/main">
  <sheetPr>
    <tabColor rgb="000F1A26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Predaj automobilov / autobazár</t>
        </is>
      </c>
    </row>
    <row r="2" ht="20" customHeight="1">
      <c r="B2" s="2" t="inlineStr">
        <is>
          <t>Balík, ktorý ustráži maržu na vozidlo, obrátku skladu a starnutie zásob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 na vozidlo</t>
        </is>
      </c>
      <c r="C7" s="7" t="inlineStr">
        <is>
          <t>Náklad obstarania a prípravy na vozidlo a marža</t>
        </is>
      </c>
    </row>
    <row r="8" ht="20" customHeight="1">
      <c r="B8" s="6" t="inlineStr">
        <is>
          <t xml:space="preserve">  Sklad vozidiel</t>
        </is>
      </c>
      <c r="C8" s="7" t="inlineStr">
        <is>
          <t>Obrátka skladu a hodnota odpisu (starnutie / zľavy)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Predaj vozidiel a úhrady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obhliadky a skúšobné jazdy</t>
        </is>
      </c>
    </row>
    <row r="15" ht="22" customHeight="1">
      <c r="B15" s="8" t="inlineStr">
        <is>
          <t>•  POČAS DŇA: predaj, protiúčty, financovanie a poistenie</t>
        </is>
      </c>
    </row>
    <row r="16" ht="22" customHeight="1">
      <c r="B16" s="8" t="inlineStr">
        <is>
          <t>•  VEČER: uzávierka + stav skladu vozidiel</t>
        </is>
      </c>
    </row>
    <row r="17" ht="22" customHeight="1">
      <c r="B17" s="8" t="inlineStr">
        <is>
          <t>•  TÝŽDENNE: marža na vozidlo + obrátka a starnutie skladu</t>
        </is>
      </c>
    </row>
    <row r="18" ht="22" customHeight="1">
      <c r="B18" s="8" t="inlineStr">
        <is>
          <t>•  MESAČNE: cash flow + prehľad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vozidlá pripravené (čistota, palivo, EČV)</t>
        </is>
      </c>
      <c r="C33" s="21" t="n"/>
      <c r="D33" s="21" t="n"/>
      <c r="E33" s="18" t="n"/>
    </row>
    <row r="34" ht="19" customHeight="1">
      <c r="B34" s="22" t="inlineStr">
        <is>
          <t xml:space="preserve">  Otvorenie: obhliadky a skúšobné jazdy na dnes potvrdené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a zálohy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stav skladu a starnutie vozidiel skontrolované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kľúče a areál zabezpečené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C3D5A"/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  ↗</t>
        </is>
      </c>
      <c r="D6" s="29" t="n"/>
      <c r="F6" s="28" t="inlineStr">
        <is>
          <t>HRUBÁ MARŽA  ↗</t>
        </is>
      </c>
      <c r="H6" s="29" t="n"/>
      <c r="J6" s="28" t="inlineStr">
        <is>
          <t>ČISTÝ ZISK  ↗</t>
        </is>
      </c>
      <c r="L6" s="29" t="n"/>
    </row>
    <row r="7" ht="22" customHeight="1">
      <c r="B7" s="30">
        <f>IFERROR('03 · Cash flow'!O14,0)</f>
        <v/>
      </c>
      <c r="D7" s="29" t="n"/>
      <c r="F7" s="31">
        <f>IFERROR('03 · Cash flow'!O19,0)</f>
        <v/>
      </c>
      <c r="H7" s="29" t="n"/>
      <c r="J7" s="32">
        <f>IFERROR('03 · Cash flow'!O27,0)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TRŽBY VS PLÁN  ↗</t>
        </is>
      </c>
      <c r="D11" s="29" t="n"/>
      <c r="F11" s="28" t="inlineStr">
        <is>
          <t>KONCOVÁ HOTOVOSŤ  ↗</t>
        </is>
      </c>
      <c r="H11" s="29" t="n"/>
      <c r="J11" s="28" t="inlineStr">
        <is>
          <t>PRIEMERNÁ MARŽA NA VOZIDLO  ↗</t>
        </is>
      </c>
      <c r="L11" s="29" t="n"/>
    </row>
    <row r="12" ht="22" customHeight="1">
      <c r="B12" s="30">
        <f>IFERROR('03 · Cash flow'!Q14,0)</f>
        <v/>
      </c>
      <c r="D12" s="29" t="n"/>
      <c r="F12" s="31">
        <f>IFERROR('03 · Cash flow'!N30,0)</f>
        <v/>
      </c>
      <c r="H12" s="29" t="n"/>
      <c r="J12" s="36">
        <f>IFERROR('04 · Marža na vozidlo'!H30,0)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4" customHeight="1">
      <c r="B15" s="23" t="inlineStr"/>
      <c r="C15" s="24" t="n"/>
      <c r="D15" s="25" t="n"/>
      <c r="F15" s="26" t="inlineStr"/>
      <c r="G15" s="24" t="n"/>
      <c r="H15" s="25" t="n"/>
    </row>
    <row r="16" ht="18" customHeight="1">
      <c r="B16" s="28" t="inlineStr">
        <is>
          <t>HODNOTA ODPISU (STARNUTIE)  ↗</t>
        </is>
      </c>
      <c r="D16" s="29" t="n"/>
      <c r="F16" s="28" t="inlineStr">
        <is>
          <t>PODIEL MIEZD  ↗</t>
        </is>
      </c>
      <c r="H16" s="29" t="n"/>
    </row>
    <row r="17" ht="22" customHeight="1">
      <c r="B17" s="30">
        <f>IFERROR('05 · Sklad vozidiel'!I27,0)</f>
        <v/>
      </c>
      <c r="D17" s="29" t="n"/>
      <c r="F17" s="37">
        <f>IFERROR('06 · Zmeny'!I31,0)</f>
        <v/>
      </c>
      <c r="H17" s="29" t="n"/>
    </row>
    <row r="18" ht="14" customHeight="1">
      <c r="B18" s="33" t="n"/>
      <c r="C18" s="34" t="n"/>
      <c r="D18" s="35" t="n"/>
      <c r="F18" s="33" t="n"/>
      <c r="G18" s="34" t="n"/>
      <c r="H18" s="35" t="n"/>
    </row>
    <row r="19"/>
    <row r="20" ht="24" customHeight="1">
      <c r="B20" s="4" t="inlineStr">
        <is>
          <t>POSTREHY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24" customHeight="1">
      <c r="B21" s="38">
        <f>IFERROR(IF('03 · Cash flow'!P14="","Tržby vs plán: zadajte ročný plán v hárku Cash flow.","Tržby vs plán: "&amp;TEXT('03 · Cash flow'!Q14,"#,##0 €")&amp;" ("&amp;TEXT('03 · Cash flow'!R14,"+0.0%;-0.0%")&amp;") — "&amp;IF('03 · Cash flow'!R14&gt;=0,"NAD plánom.","POD plánom, preverte hlavný zdroj tržieb.")),"Tržby vs plán: zatiaľ bez dát.")</f>
        <v/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</row>
    <row r="22" ht="24" customHeight="1">
      <c r="B22" s="39">
        <f>IFERROR("Čistá marža: "&amp;TEXT('03 · Cash flow'!O27/'03 · Cash flow'!O14,"0.0%")&amp;IF('03 · Cash flow'!O27/'03 · Cash flow'!O14&gt;=0.1," — zdravé."," — pozor, je nízka."),"Čistá marža: zatiaľ bez dát.")</f>
        <v/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</row>
    <row r="23" ht="24" customHeight="1">
      <c r="B23" s="38">
        <f>IFERROR("Podiel miezd: "&amp;TEXT('06 · Zmeny'!I31,"0.0%")&amp;IF('06 · Zmeny'!I31&gt;0.35," — NAD cieľom 35 %."," — v poriadku."),"Podiel miezd: zatiaľ bez dát.")</f>
        <v/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</row>
    <row r="24" ht="24" customHeight="1">
      <c r="B24" s="39">
        <f>IFERROR("Hodnota strát/odpisu: "&amp;TEXT('05 · Sklad vozidiel'!I27,"#,##0.00 €")&amp;".","Straty: zatiaľ bez dát.")</f>
        <v/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</row>
    <row r="25" ht="24" customHeight="1">
      <c r="B25" s="38">
        <f>IFERROR("Položky pod cieľovou maržou: "&amp;TEXT('04 · Marža na vozidlo'!H31,"0")&amp;".","Marža: zatiaľ bez dát.")</f>
        <v/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</row>
    <row r="26" ht="24" customHeight="1">
      <c r="B26" s="39">
        <f>IFERROR("Rozdiel v pokladni (rok): "&amp;TEXT('07 · Tržby'!H40,"#,##0.00 €")&amp;IF(ABS('07 · Tržby'!H40)&gt;1," — preverte."," — sedí."),"Pokladňa: zatiaľ bez dát.")</f>
        <v/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</row>
    <row r="27"/>
    <row r="28" ht="30" customHeight="1">
      <c r="B28" s="9" t="inlineStr">
        <is>
          <t xml:space="preserve">  Tieto čísla sa aktualizujú automaticky, keď vyplníte ostatné hárky.</t>
        </is>
      </c>
    </row>
  </sheetData>
  <mergeCells count="34">
    <mergeCell ref="B11:D11"/>
    <mergeCell ref="J6:L6"/>
    <mergeCell ref="B26:L26"/>
    <mergeCell ref="F5:H5"/>
    <mergeCell ref="B25:L25"/>
    <mergeCell ref="B22:L22"/>
    <mergeCell ref="B7:D8"/>
    <mergeCell ref="J11:L11"/>
    <mergeCell ref="B10:D10"/>
    <mergeCell ref="F7:H8"/>
    <mergeCell ref="B21:L21"/>
    <mergeCell ref="B2:L2"/>
    <mergeCell ref="B12:D13"/>
    <mergeCell ref="B15:D15"/>
    <mergeCell ref="F12:H13"/>
    <mergeCell ref="B17:D18"/>
    <mergeCell ref="B6:D6"/>
    <mergeCell ref="B23:L23"/>
    <mergeCell ref="B1:L1"/>
    <mergeCell ref="B5:D5"/>
    <mergeCell ref="B28:L28"/>
    <mergeCell ref="F17:H18"/>
    <mergeCell ref="F11:H11"/>
    <mergeCell ref="B16:D16"/>
    <mergeCell ref="J5:L5"/>
    <mergeCell ref="F10:H10"/>
    <mergeCell ref="J7:L8"/>
    <mergeCell ref="F16:H16"/>
    <mergeCell ref="F6:H6"/>
    <mergeCell ref="J10:L10"/>
    <mergeCell ref="B24:L24"/>
    <mergeCell ref="B20:L20"/>
    <mergeCell ref="F15:H15"/>
    <mergeCell ref="J12:L13"/>
  </mergeCells>
  <conditionalFormatting sqref="J7">
    <cfRule type="cellIs" priority="1" operator="lessThan" dxfId="0">
      <formula>0</formula>
    </cfRule>
  </conditionalFormatting>
  <conditionalFormatting sqref="F17">
    <cfRule type="cellIs" priority="2" operator="greaterThan" dxfId="0">
      <formula>0.35</formula>
    </cfRule>
  </conditionalFormatting>
  <hyperlinks>
    <hyperlink xmlns:r="http://schemas.openxmlformats.org/officeDocument/2006/relationships" ref="B6" r:id="rId1"/>
    <hyperlink xmlns:r="http://schemas.openxmlformats.org/officeDocument/2006/relationships" ref="F6" r:id="rId2"/>
    <hyperlink xmlns:r="http://schemas.openxmlformats.org/officeDocument/2006/relationships" ref="J6" r:id="rId3"/>
    <hyperlink xmlns:r="http://schemas.openxmlformats.org/officeDocument/2006/relationships" ref="B11" r:id="rId4"/>
    <hyperlink xmlns:r="http://schemas.openxmlformats.org/officeDocument/2006/relationships" ref="F11" r:id="rId5"/>
    <hyperlink xmlns:r="http://schemas.openxmlformats.org/officeDocument/2006/relationships" ref="J11" r:id="rId6"/>
    <hyperlink xmlns:r="http://schemas.openxmlformats.org/officeDocument/2006/relationships" ref="B16" r:id="rId7"/>
    <hyperlink xmlns:r="http://schemas.openxmlformats.org/officeDocument/2006/relationships" ref="F16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C3D5A"/>
    <outlinePr summaryBelow="1" summaryRight="1"/>
    <pageSetUpPr/>
  </sheetPr>
  <dimension ref="A1:R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4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  <col width="12" customWidth="1" min="16" max="16"/>
    <col width="12" customWidth="1" min="17" max="17"/>
    <col width="11" customWidth="1" min="18" max="18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 (mesačné skutočnosti + ročný plán). Súčty, marža, zisk, odchýlka od plánu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  <c r="P8" s="15" t="inlineStr">
        <is>
          <t>Plán</t>
        </is>
      </c>
      <c r="Q8" s="15" t="inlineStr">
        <is>
          <t>Odchýlka €</t>
        </is>
      </c>
      <c r="R8" s="15" t="inlineStr">
        <is>
          <t>Odchýlka %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predaj vozidiel (jazdené)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  <c r="P10" s="41" t="n"/>
      <c r="Q10" s="43">
        <f>IF(OR(O10="",P10=""),"",O10-P10)</f>
        <v/>
      </c>
      <c r="R10" s="44">
        <f>IF(OR(P10="",P10=0,O10=""),"",(O10-P10)/P10)</f>
        <v/>
      </c>
    </row>
    <row r="11" ht="16" customHeight="1">
      <c r="B11" s="20" t="inlineStr">
        <is>
          <t>Tržby predaj vozidiel (nové)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  <c r="P11" s="41" t="n"/>
      <c r="Q11" s="43">
        <f>IF(OR(O11="",P11=""),"",O11-P11)</f>
        <v/>
      </c>
      <c r="R11" s="44">
        <f>IF(OR(P11="",P11=0,O11=""),"",(O11-P11)/P11)</f>
        <v/>
      </c>
    </row>
    <row r="12" ht="16" customHeight="1">
      <c r="B12" s="20" t="inlineStr">
        <is>
          <t>Tržby financovanie a poistenie (provízie)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  <c r="P12" s="41" t="n"/>
      <c r="Q12" s="43">
        <f>IF(OR(O12="",P12=""),"",O12-P12)</f>
        <v/>
      </c>
      <c r="R12" s="44">
        <f>IF(OR(P12="",P12=0,O12=""),"",(O12-P12)/P12)</f>
        <v/>
      </c>
    </row>
    <row r="13" ht="16" customHeight="1">
      <c r="B13" s="20" t="inlineStr">
        <is>
          <t>Tržby servis a doplnky</t>
        </is>
      </c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2">
        <f>SUM(C13:N13)</f>
        <v/>
      </c>
      <c r="P13" s="41" t="n"/>
      <c r="Q13" s="43">
        <f>IF(OR(O13="",P13=""),"",O13-P13)</f>
        <v/>
      </c>
      <c r="R13" s="44">
        <f>IF(OR(P13="",P13=0,O13=""),"",(O13-P13)/P13)</f>
        <v/>
      </c>
    </row>
    <row r="14" ht="16" customHeight="1">
      <c r="B14" s="45" t="inlineStr">
        <is>
          <t>Tržby spolu</t>
        </is>
      </c>
      <c r="C14" s="43">
        <f>SUM(C10:C13)</f>
        <v/>
      </c>
      <c r="D14" s="43">
        <f>SUM(D10:D13)</f>
        <v/>
      </c>
      <c r="E14" s="43">
        <f>SUM(E10:E13)</f>
        <v/>
      </c>
      <c r="F14" s="43">
        <f>SUM(F10:F13)</f>
        <v/>
      </c>
      <c r="G14" s="43">
        <f>SUM(G10:G13)</f>
        <v/>
      </c>
      <c r="H14" s="43">
        <f>SUM(H10:H13)</f>
        <v/>
      </c>
      <c r="I14" s="43">
        <f>SUM(I10:I13)</f>
        <v/>
      </c>
      <c r="J14" s="43">
        <f>SUM(J10:J13)</f>
        <v/>
      </c>
      <c r="K14" s="43">
        <f>SUM(K10:K13)</f>
        <v/>
      </c>
      <c r="L14" s="43">
        <f>SUM(L10:L13)</f>
        <v/>
      </c>
      <c r="M14" s="43">
        <f>SUM(M10:M13)</f>
        <v/>
      </c>
      <c r="N14" s="43">
        <f>SUM(N10:N13)</f>
        <v/>
      </c>
      <c r="O14" s="42">
        <f>SUM(C14:N14)</f>
        <v/>
      </c>
      <c r="P14" s="42">
        <f>SUM(P10:P13)</f>
        <v/>
      </c>
      <c r="Q14" s="42">
        <f>IF(OR(O14="",P14=""),"",O14-P14)</f>
        <v/>
      </c>
      <c r="R14" s="46">
        <f>IF(OR(P14="",P14=0,O14=""),"",(O14-P14)/P14)</f>
        <v/>
      </c>
    </row>
    <row r="15" ht="18" customHeight="1">
      <c r="B15" s="40" t="inlineStr">
        <is>
          <t>NÁKLADY NA PREDAJ</t>
        </is>
      </c>
    </row>
    <row r="16" ht="16" customHeight="1">
      <c r="B16" s="20" t="inlineStr">
        <is>
          <t>Nákup vozidiel a protiúčty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  <c r="P16" s="41" t="n"/>
      <c r="Q16" s="43">
        <f>IF(OR(O16="",P16=""),"",O16-P16)</f>
        <v/>
      </c>
      <c r="R16" s="44">
        <f>IF(OR(P16="",P16=0,O16=""),"",(O16-P16)/P16)</f>
        <v/>
      </c>
    </row>
    <row r="17" ht="16" customHeight="1">
      <c r="B17" s="20" t="inlineStr">
        <is>
          <t>Príprava a kondícia (servis, detailing, STK/EK)</t>
        </is>
      </c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2">
        <f>SUM(C17:N17)</f>
        <v/>
      </c>
      <c r="P17" s="41" t="n"/>
      <c r="Q17" s="43">
        <f>IF(OR(O17="",P17=""),"",O17-P17)</f>
        <v/>
      </c>
      <c r="R17" s="44">
        <f>IF(OR(P17="",P17=0,O17=""),"",(O17-P17)/P17)</f>
        <v/>
      </c>
    </row>
    <row r="18" ht="16" customHeight="1">
      <c r="B18" s="45" t="inlineStr">
        <is>
          <t>Náklady spolu</t>
        </is>
      </c>
      <c r="C18" s="43">
        <f>SUM(C16:C17)</f>
        <v/>
      </c>
      <c r="D18" s="43">
        <f>SUM(D16:D17)</f>
        <v/>
      </c>
      <c r="E18" s="43">
        <f>SUM(E16:E17)</f>
        <v/>
      </c>
      <c r="F18" s="43">
        <f>SUM(F16:F17)</f>
        <v/>
      </c>
      <c r="G18" s="43">
        <f>SUM(G16:G17)</f>
        <v/>
      </c>
      <c r="H18" s="43">
        <f>SUM(H16:H17)</f>
        <v/>
      </c>
      <c r="I18" s="43">
        <f>SUM(I16:I17)</f>
        <v/>
      </c>
      <c r="J18" s="43">
        <f>SUM(J16:J17)</f>
        <v/>
      </c>
      <c r="K18" s="43">
        <f>SUM(K16:K17)</f>
        <v/>
      </c>
      <c r="L18" s="43">
        <f>SUM(L16:L17)</f>
        <v/>
      </c>
      <c r="M18" s="43">
        <f>SUM(M16:M17)</f>
        <v/>
      </c>
      <c r="N18" s="43">
        <f>SUM(N16:N17)</f>
        <v/>
      </c>
      <c r="O18" s="42">
        <f>SUM(C18:N18)</f>
        <v/>
      </c>
      <c r="P18" s="42">
        <f>SUM(P16:P17)</f>
        <v/>
      </c>
      <c r="Q18" s="42">
        <f>IF(OR(O18="",P18=""),"",O18-P18)</f>
        <v/>
      </c>
      <c r="R18" s="46">
        <f>IF(OR(P18="",P18=0,O18=""),"",(O18-P18)/P18)</f>
        <v/>
      </c>
    </row>
    <row r="19" ht="16" customHeight="1">
      <c r="B19" s="45" t="inlineStr">
        <is>
          <t>HRUBÁ MARŽA</t>
        </is>
      </c>
      <c r="C19" s="43">
        <f>C14-C18</f>
        <v/>
      </c>
      <c r="D19" s="43">
        <f>D14-D18</f>
        <v/>
      </c>
      <c r="E19" s="43">
        <f>E14-E18</f>
        <v/>
      </c>
      <c r="F19" s="43">
        <f>F14-F18</f>
        <v/>
      </c>
      <c r="G19" s="43">
        <f>G14-G18</f>
        <v/>
      </c>
      <c r="H19" s="43">
        <f>H14-H18</f>
        <v/>
      </c>
      <c r="I19" s="43">
        <f>I14-I18</f>
        <v/>
      </c>
      <c r="J19" s="43">
        <f>J14-J18</f>
        <v/>
      </c>
      <c r="K19" s="43">
        <f>K14-K18</f>
        <v/>
      </c>
      <c r="L19" s="43">
        <f>L14-L18</f>
        <v/>
      </c>
      <c r="M19" s="43">
        <f>M14-M18</f>
        <v/>
      </c>
      <c r="N19" s="43">
        <f>N14-N18</f>
        <v/>
      </c>
      <c r="O19" s="42">
        <f>SUM(C19:N19)</f>
        <v/>
      </c>
      <c r="P19" s="42">
        <f>P14-P18</f>
        <v/>
      </c>
      <c r="Q19" s="42">
        <f>IF(OR(O19="",P19=""),"",O19-P19)</f>
        <v/>
      </c>
      <c r="R19" s="46">
        <f>IF(OR(P19="",P19=0,O19=""),"",(O19-P19)/P19)</f>
        <v/>
      </c>
    </row>
    <row r="20" ht="18" customHeight="1">
      <c r="B20" s="40" t="inlineStr">
        <is>
          <t>RÉŽIE</t>
        </is>
      </c>
    </row>
    <row r="21" ht="16" customHeight="1">
      <c r="B21" s="20" t="inlineStr">
        <is>
          <t>Mzdy a personál (predajcovia)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  <c r="P21" s="41" t="n"/>
      <c r="Q21" s="43">
        <f>IF(OR(O21="",P21=""),"",O21-P21)</f>
        <v/>
      </c>
      <c r="R21" s="44">
        <f>IF(OR(P21="",P21=0,O21=""),"",(O21-P21)/P21)</f>
        <v/>
      </c>
    </row>
    <row r="22" ht="16" customHeight="1">
      <c r="B22" s="20" t="inlineStr">
        <is>
          <t>Areál a poplatky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  <c r="P22" s="41" t="n"/>
      <c r="Q22" s="43">
        <f>IF(OR(O22="",P22=""),"",O22-P22)</f>
        <v/>
      </c>
      <c r="R22" s="44">
        <f>IF(OR(P22="",P22=0,O22=""),"",(O22-P22)/P22)</f>
        <v/>
      </c>
    </row>
    <row r="23" ht="16" customHeight="1">
      <c r="B23" s="20" t="inlineStr">
        <is>
          <t>Inzercia a 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  <c r="P23" s="41" t="n"/>
      <c r="Q23" s="43">
        <f>IF(OR(O23="",P23=""),"",O23-P23)</f>
        <v/>
      </c>
      <c r="R23" s="44">
        <f>IF(OR(P23="",P23=0,O23=""),"",(O23-P23)/P23)</f>
        <v/>
      </c>
    </row>
    <row r="24" ht="16" customHeight="1">
      <c r="B24" s="20" t="inlineStr">
        <is>
          <t>Poistenie a financovanie skladu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  <c r="P24" s="41" t="n"/>
      <c r="Q24" s="43">
        <f>IF(OR(O24="",P24=""),"",O24-P24)</f>
        <v/>
      </c>
      <c r="R24" s="44">
        <f>IF(OR(P24="",P24=0,O24=""),"",(O24-P24)/P24)</f>
        <v/>
      </c>
    </row>
    <row r="25" ht="16" customHeight="1">
      <c r="B25" s="20" t="inlineStr">
        <is>
          <t>Ostatné réžie</t>
        </is>
      </c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2">
        <f>SUM(C25:N25)</f>
        <v/>
      </c>
      <c r="P25" s="41" t="n"/>
      <c r="Q25" s="43">
        <f>IF(OR(O25="",P25=""),"",O25-P25)</f>
        <v/>
      </c>
      <c r="R25" s="44">
        <f>IF(OR(P25="",P25=0,O25=""),"",(O25-P25)/P25)</f>
        <v/>
      </c>
    </row>
    <row r="26" ht="16" customHeight="1">
      <c r="B26" s="45" t="inlineStr">
        <is>
          <t>Réžie spolu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2">
        <f>SUM(C26:N26)</f>
        <v/>
      </c>
      <c r="P26" s="42">
        <f>SUM(P21:P25)</f>
        <v/>
      </c>
      <c r="Q26" s="42">
        <f>IF(OR(O26="",P26=""),"",O26-P26)</f>
        <v/>
      </c>
      <c r="R26" s="46">
        <f>IF(OR(P26="",P26=0,O26=""),"",(O26-P26)/P26)</f>
        <v/>
      </c>
    </row>
    <row r="27" ht="16" customHeight="1">
      <c r="B27" s="45" t="inlineStr">
        <is>
          <t>ČISTÝ ZISK</t>
        </is>
      </c>
      <c r="C27" s="43">
        <f>C19-C26</f>
        <v/>
      </c>
      <c r="D27" s="43">
        <f>D19-D26</f>
        <v/>
      </c>
      <c r="E27" s="43">
        <f>E19-E26</f>
        <v/>
      </c>
      <c r="F27" s="43">
        <f>F19-F26</f>
        <v/>
      </c>
      <c r="G27" s="43">
        <f>G19-G26</f>
        <v/>
      </c>
      <c r="H27" s="43">
        <f>H19-H26</f>
        <v/>
      </c>
      <c r="I27" s="43">
        <f>I19-I26</f>
        <v/>
      </c>
      <c r="J27" s="43">
        <f>J19-J26</f>
        <v/>
      </c>
      <c r="K27" s="43">
        <f>K19-K26</f>
        <v/>
      </c>
      <c r="L27" s="43">
        <f>L19-L26</f>
        <v/>
      </c>
      <c r="M27" s="43">
        <f>M19-M26</f>
        <v/>
      </c>
      <c r="N27" s="43">
        <f>N19-N26</f>
        <v/>
      </c>
      <c r="O27" s="42">
        <f>SUM(C27:N27)</f>
        <v/>
      </c>
      <c r="P27" s="42">
        <f>P19-P26</f>
        <v/>
      </c>
      <c r="Q27" s="42">
        <f>IF(OR(O27="",P27=""),"",O27-P27)</f>
        <v/>
      </c>
      <c r="R27" s="46">
        <f>IF(OR(P27="",P27=0,O27=""),"",(O27-P27)/P27)</f>
        <v/>
      </c>
    </row>
    <row r="28" ht="18" customHeight="1">
      <c r="B28" s="40" t="inlineStr">
        <is>
          <t>HOTOVOSŤ</t>
        </is>
      </c>
    </row>
    <row r="29">
      <c r="B29" s="20" t="inlineStr">
        <is>
          <t>Počiatočná hotovosť</t>
        </is>
      </c>
      <c r="C29" s="41" t="n"/>
      <c r="D29" s="43">
        <f>C30</f>
        <v/>
      </c>
      <c r="E29" s="43">
        <f>D30</f>
        <v/>
      </c>
      <c r="F29" s="43">
        <f>E30</f>
        <v/>
      </c>
      <c r="G29" s="43">
        <f>F30</f>
        <v/>
      </c>
      <c r="H29" s="43">
        <f>G30</f>
        <v/>
      </c>
      <c r="I29" s="43">
        <f>H30</f>
        <v/>
      </c>
      <c r="J29" s="43">
        <f>I30</f>
        <v/>
      </c>
      <c r="K29" s="43">
        <f>J30</f>
        <v/>
      </c>
      <c r="L29" s="43">
        <f>K30</f>
        <v/>
      </c>
      <c r="M29" s="43">
        <f>L30</f>
        <v/>
      </c>
      <c r="N29" s="43">
        <f>M30</f>
        <v/>
      </c>
      <c r="O29" s="43">
        <f>C29</f>
        <v/>
      </c>
    </row>
    <row r="30">
      <c r="B30" s="45" t="inlineStr">
        <is>
          <t>Koncová hotovosť</t>
        </is>
      </c>
      <c r="C30" s="42">
        <f>C29+C27</f>
        <v/>
      </c>
      <c r="D30" s="42">
        <f>D29+D27</f>
        <v/>
      </c>
      <c r="E30" s="42">
        <f>E29+E27</f>
        <v/>
      </c>
      <c r="F30" s="42">
        <f>F29+F27</f>
        <v/>
      </c>
      <c r="G30" s="42">
        <f>G29+G27</f>
        <v/>
      </c>
      <c r="H30" s="42">
        <f>H29+H27</f>
        <v/>
      </c>
      <c r="I30" s="42">
        <f>I29+I27</f>
        <v/>
      </c>
      <c r="J30" s="42">
        <f>J29+J27</f>
        <v/>
      </c>
      <c r="K30" s="42">
        <f>K29+K27</f>
        <v/>
      </c>
      <c r="L30" s="42">
        <f>L29+L27</f>
        <v/>
      </c>
      <c r="M30" s="42">
        <f>M29+M27</f>
        <v/>
      </c>
      <c r="N30" s="42">
        <f>N29+N27</f>
        <v/>
      </c>
      <c r="O30" s="42">
        <f>N30</f>
        <v/>
      </c>
    </row>
  </sheetData>
  <mergeCells count="8">
    <mergeCell ref="B9:R9"/>
    <mergeCell ref="C5:E5"/>
    <mergeCell ref="B15:R15"/>
    <mergeCell ref="B7:R7"/>
    <mergeCell ref="B2:R2"/>
    <mergeCell ref="B20:R20"/>
    <mergeCell ref="B28:R28"/>
    <mergeCell ref="B1:R1"/>
  </mergeCells>
  <conditionalFormatting sqref="Q14">
    <cfRule type="cellIs" priority="1" operator="lessThan" dxfId="1">
      <formula>0</formula>
    </cfRule>
    <cfRule type="cellIs" priority="2" operator="greaterThan" dxfId="2">
      <formula>0</formula>
    </cfRule>
  </conditionalFormatting>
  <conditionalFormatting sqref="Q19">
    <cfRule type="cellIs" priority="3" operator="lessThan" dxfId="1">
      <formula>0</formula>
    </cfRule>
    <cfRule type="cellIs" priority="4" operator="greaterThan" dxfId="2">
      <formula>0</formula>
    </cfRule>
  </conditionalFormatting>
  <conditionalFormatting sqref="Q27">
    <cfRule type="cellIs" priority="5" operator="lessThan" dxfId="1">
      <formula>0</formula>
    </cfRule>
    <cfRule type="cellIs" priority="6" operator="greaterThan" dxfId="2">
      <formula>0</formula>
    </cfRule>
  </conditionalFormatting>
  <conditionalFormatting sqref="C30:N30">
    <cfRule type="cellIs" priority="7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 na vozidlo</t>
        </is>
      </c>
    </row>
    <row r="2" ht="20" customHeight="1">
      <c r="B2" s="2" t="inlineStr">
        <is>
          <t>Náklad obstarania a prípravy na vozidlo a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Vozidlo / model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7" t="inlineStr">
        <is>
          <t>Malé mestské auto (jazdené)</t>
        </is>
      </c>
      <c r="C8" s="48" t="n"/>
      <c r="D8" s="49" t="n"/>
      <c r="E8" s="50" t="n"/>
      <c r="F8" s="51">
        <f>IF(OR(D8="",E8=""),"",D8/(1-E8))</f>
        <v/>
      </c>
      <c r="G8" s="49" t="n"/>
      <c r="H8" s="52">
        <f>IF(OR(G8="",D8=""),"",(G8-D8)/G8)</f>
        <v/>
      </c>
      <c r="I8" s="53">
        <f>IF(OR(H8="",E8=""),"",IF(H8&lt;E8,"NÍZKA","OK"))</f>
        <v/>
      </c>
    </row>
    <row r="9" ht="19" customHeight="1">
      <c r="B9" s="54" t="inlineStr">
        <is>
          <t>Rodinný kombi (jazdené)</t>
        </is>
      </c>
      <c r="C9" s="55" t="n"/>
      <c r="D9" s="49" t="n"/>
      <c r="E9" s="50" t="n"/>
      <c r="F9" s="51">
        <f>IF(OR(D9="",E9=""),"",D9/(1-E9))</f>
        <v/>
      </c>
      <c r="G9" s="49" t="n"/>
      <c r="H9" s="52">
        <f>IF(OR(G9="",D9=""),"",(G9-D9)/G9)</f>
        <v/>
      </c>
      <c r="I9" s="56">
        <f>IF(OR(H9="",E9=""),"",IF(H9&lt;E9,"NÍZKA","OK"))</f>
        <v/>
      </c>
    </row>
    <row r="10" ht="19" customHeight="1">
      <c r="B10" s="47" t="inlineStr">
        <is>
          <t>SUV (jazdené)</t>
        </is>
      </c>
      <c r="C10" s="48" t="n"/>
      <c r="D10" s="49" t="n"/>
      <c r="E10" s="50" t="n"/>
      <c r="F10" s="51">
        <f>IF(OR(D10="",E10=""),"",D10/(1-E10))</f>
        <v/>
      </c>
      <c r="G10" s="49" t="n"/>
      <c r="H10" s="52">
        <f>IF(OR(G10="",D10=""),"",(G10-D10)/G10)</f>
        <v/>
      </c>
      <c r="I10" s="53">
        <f>IF(OR(H10="",E10=""),"",IF(H10&lt;E10,"NÍZKA","OK"))</f>
        <v/>
      </c>
    </row>
    <row r="11" ht="19" customHeight="1">
      <c r="B11" s="54" t="inlineStr">
        <is>
          <t>Dodávka / úžitkové</t>
        </is>
      </c>
      <c r="C11" s="55" t="n"/>
      <c r="D11" s="49" t="n"/>
      <c r="E11" s="50" t="n"/>
      <c r="F11" s="51">
        <f>IF(OR(D11="",E11=""),"",D11/(1-E11))</f>
        <v/>
      </c>
      <c r="G11" s="49" t="n"/>
      <c r="H11" s="52">
        <f>IF(OR(G11="",D11=""),"",(G11-D11)/G11)</f>
        <v/>
      </c>
      <c r="I11" s="56">
        <f>IF(OR(H11="",E11=""),"",IF(H11&lt;E11,"NÍZKA","OK"))</f>
        <v/>
      </c>
    </row>
    <row r="12" ht="19" customHeight="1">
      <c r="B12" s="47" t="inlineStr">
        <is>
          <t>Nové vozidlo (objednávka)</t>
        </is>
      </c>
      <c r="C12" s="48" t="n"/>
      <c r="D12" s="49" t="n"/>
      <c r="E12" s="50" t="n"/>
      <c r="F12" s="51">
        <f>IF(OR(D12="",E12=""),"",D12/(1-E12))</f>
        <v/>
      </c>
      <c r="G12" s="49" t="n"/>
      <c r="H12" s="52">
        <f>IF(OR(G12="",D12=""),"",(G12-D12)/G12)</f>
        <v/>
      </c>
      <c r="I12" s="53">
        <f>IF(OR(H12="",E12=""),"",IF(H12&lt;E12,"NÍZKA","OK"))</f>
        <v/>
      </c>
    </row>
    <row r="13" ht="19" customHeight="1">
      <c r="B13" s="54" t="inlineStr">
        <is>
          <t>Luxusný segment</t>
        </is>
      </c>
      <c r="C13" s="55" t="n"/>
      <c r="D13" s="49" t="n"/>
      <c r="E13" s="50" t="n"/>
      <c r="F13" s="51">
        <f>IF(OR(D13="",E13=""),"",D13/(1-E13))</f>
        <v/>
      </c>
      <c r="G13" s="49" t="n"/>
      <c r="H13" s="52">
        <f>IF(OR(G13="",D13=""),"",(G13-D13)/G13)</f>
        <v/>
      </c>
      <c r="I13" s="56">
        <f>IF(OR(H13="",E13=""),"",IF(H13&lt;E13,"NÍZKA","OK"))</f>
        <v/>
      </c>
    </row>
    <row r="14" ht="19" customHeight="1">
      <c r="B14" s="47" t="n"/>
      <c r="C14" s="48" t="n"/>
      <c r="D14" s="49" t="n"/>
      <c r="E14" s="50" t="n"/>
      <c r="F14" s="51">
        <f>IF(OR(D14="",E14=""),"",D14/(1-E14))</f>
        <v/>
      </c>
      <c r="G14" s="49" t="n"/>
      <c r="H14" s="52">
        <f>IF(OR(G14="",D14=""),"",(G14-D14)/G14)</f>
        <v/>
      </c>
      <c r="I14" s="53">
        <f>IF(OR(H14="",E14=""),"",IF(H14&lt;E14,"NÍZKA","OK"))</f>
        <v/>
      </c>
    </row>
    <row r="15" ht="19" customHeight="1">
      <c r="B15" s="54" t="n"/>
      <c r="C15" s="55" t="n"/>
      <c r="D15" s="49" t="n"/>
      <c r="E15" s="50" t="n"/>
      <c r="F15" s="51">
        <f>IF(OR(D15="",E15=""),"",D15/(1-E15))</f>
        <v/>
      </c>
      <c r="G15" s="49" t="n"/>
      <c r="H15" s="52">
        <f>IF(OR(G15="",D15=""),"",(G15-D15)/G15)</f>
        <v/>
      </c>
      <c r="I15" s="56">
        <f>IF(OR(H15="",E15=""),"",IF(H15&lt;E15,"NÍZKA","OK"))</f>
        <v/>
      </c>
    </row>
    <row r="16" ht="19" customHeight="1">
      <c r="B16" s="47" t="n"/>
      <c r="C16" s="48" t="n"/>
      <c r="D16" s="49" t="n"/>
      <c r="E16" s="50" t="n"/>
      <c r="F16" s="51">
        <f>IF(OR(D16="",E16=""),"",D16/(1-E16))</f>
        <v/>
      </c>
      <c r="G16" s="49" t="n"/>
      <c r="H16" s="52">
        <f>IF(OR(G16="",D16=""),"",(G16-D16)/G16)</f>
        <v/>
      </c>
      <c r="I16" s="53">
        <f>IF(OR(H16="",E16=""),"",IF(H16&lt;E16,"NÍZKA","OK"))</f>
        <v/>
      </c>
    </row>
    <row r="17" ht="19" customHeight="1">
      <c r="B17" s="54" t="n"/>
      <c r="C17" s="55" t="n"/>
      <c r="D17" s="49" t="n"/>
      <c r="E17" s="50" t="n"/>
      <c r="F17" s="51">
        <f>IF(OR(D17="",E17=""),"",D17/(1-E17))</f>
        <v/>
      </c>
      <c r="G17" s="49" t="n"/>
      <c r="H17" s="52">
        <f>IF(OR(G17="",D17=""),"",(G17-D17)/G17)</f>
        <v/>
      </c>
      <c r="I17" s="56">
        <f>IF(OR(H17="",E17=""),"",IF(H17&lt;E17,"NÍZKA","OK"))</f>
        <v/>
      </c>
    </row>
    <row r="18" ht="19" customHeight="1">
      <c r="B18" s="47" t="n"/>
      <c r="C18" s="48" t="n"/>
      <c r="D18" s="49" t="n"/>
      <c r="E18" s="50" t="n"/>
      <c r="F18" s="51">
        <f>IF(OR(D18="",E18=""),"",D18/(1-E18))</f>
        <v/>
      </c>
      <c r="G18" s="49" t="n"/>
      <c r="H18" s="52">
        <f>IF(OR(G18="",D18=""),"",(G18-D18)/G18)</f>
        <v/>
      </c>
      <c r="I18" s="53">
        <f>IF(OR(H18="",E18=""),"",IF(H18&lt;E18,"NÍZKA","OK"))</f>
        <v/>
      </c>
    </row>
    <row r="19" ht="19" customHeight="1">
      <c r="B19" s="54" t="n"/>
      <c r="C19" s="55" t="n"/>
      <c r="D19" s="49" t="n"/>
      <c r="E19" s="50" t="n"/>
      <c r="F19" s="51">
        <f>IF(OR(D19="",E19=""),"",D19/(1-E19))</f>
        <v/>
      </c>
      <c r="G19" s="49" t="n"/>
      <c r="H19" s="52">
        <f>IF(OR(G19="",D19=""),"",(G19-D19)/G19)</f>
        <v/>
      </c>
      <c r="I19" s="56">
        <f>IF(OR(H19="",E19=""),"",IF(H19&lt;E19,"NÍZKA","OK"))</f>
        <v/>
      </c>
    </row>
    <row r="20" ht="19" customHeight="1">
      <c r="B20" s="47" t="n"/>
      <c r="C20" s="48" t="n"/>
      <c r="D20" s="49" t="n"/>
      <c r="E20" s="50" t="n"/>
      <c r="F20" s="51">
        <f>IF(OR(D20="",E20=""),"",D20/(1-E20))</f>
        <v/>
      </c>
      <c r="G20" s="49" t="n"/>
      <c r="H20" s="52">
        <f>IF(OR(G20="",D20=""),"",(G20-D20)/G20)</f>
        <v/>
      </c>
      <c r="I20" s="53">
        <f>IF(OR(H20="",E20=""),"",IF(H20&lt;E20,"NÍZKA","OK"))</f>
        <v/>
      </c>
    </row>
    <row r="21" ht="19" customHeight="1">
      <c r="B21" s="54" t="n"/>
      <c r="C21" s="55" t="n"/>
      <c r="D21" s="49" t="n"/>
      <c r="E21" s="50" t="n"/>
      <c r="F21" s="51">
        <f>IF(OR(D21="",E21=""),"",D21/(1-E21))</f>
        <v/>
      </c>
      <c r="G21" s="49" t="n"/>
      <c r="H21" s="52">
        <f>IF(OR(G21="",D21=""),"",(G21-D21)/G21)</f>
        <v/>
      </c>
      <c r="I21" s="56">
        <f>IF(OR(H21="",E21=""),"",IF(H21&lt;E21,"NÍZKA","OK"))</f>
        <v/>
      </c>
    </row>
    <row r="22" ht="19" customHeight="1">
      <c r="B22" s="47" t="n"/>
      <c r="C22" s="48" t="n"/>
      <c r="D22" s="49" t="n"/>
      <c r="E22" s="50" t="n"/>
      <c r="F22" s="51">
        <f>IF(OR(D22="",E22=""),"",D22/(1-E22))</f>
        <v/>
      </c>
      <c r="G22" s="49" t="n"/>
      <c r="H22" s="52">
        <f>IF(OR(G22="",D22=""),"",(G22-D22)/G22)</f>
        <v/>
      </c>
      <c r="I22" s="53">
        <f>IF(OR(H22="",E22=""),"",IF(H22&lt;E22,"NÍZKA","OK"))</f>
        <v/>
      </c>
    </row>
    <row r="23" ht="19" customHeight="1">
      <c r="B23" s="54" t="n"/>
      <c r="C23" s="55" t="n"/>
      <c r="D23" s="49" t="n"/>
      <c r="E23" s="50" t="n"/>
      <c r="F23" s="51">
        <f>IF(OR(D23="",E23=""),"",D23/(1-E23))</f>
        <v/>
      </c>
      <c r="G23" s="49" t="n"/>
      <c r="H23" s="52">
        <f>IF(OR(G23="",D23=""),"",(G23-D23)/G23)</f>
        <v/>
      </c>
      <c r="I23" s="56">
        <f>IF(OR(H23="",E23=""),"",IF(H23&lt;E23,"NÍZKA","OK"))</f>
        <v/>
      </c>
    </row>
    <row r="24" ht="19" customHeight="1">
      <c r="B24" s="47" t="n"/>
      <c r="C24" s="48" t="n"/>
      <c r="D24" s="49" t="n"/>
      <c r="E24" s="50" t="n"/>
      <c r="F24" s="51">
        <f>IF(OR(D24="",E24=""),"",D24/(1-E24))</f>
        <v/>
      </c>
      <c r="G24" s="49" t="n"/>
      <c r="H24" s="52">
        <f>IF(OR(G24="",D24=""),"",(G24-D24)/G24)</f>
        <v/>
      </c>
      <c r="I24" s="53">
        <f>IF(OR(H24="",E24=""),"",IF(H24&lt;E24,"NÍZKA","OK"))</f>
        <v/>
      </c>
    </row>
    <row r="25" ht="19" customHeight="1">
      <c r="B25" s="54" t="n"/>
      <c r="C25" s="55" t="n"/>
      <c r="D25" s="49" t="n"/>
      <c r="E25" s="50" t="n"/>
      <c r="F25" s="51">
        <f>IF(OR(D25="",E25=""),"",D25/(1-E25))</f>
        <v/>
      </c>
      <c r="G25" s="49" t="n"/>
      <c r="H25" s="52">
        <f>IF(OR(G25="",D25=""),"",(G25-D25)/G25)</f>
        <v/>
      </c>
      <c r="I25" s="56">
        <f>IF(OR(H25="",E25=""),"",IF(H25&lt;E25,"NÍZKA","OK"))</f>
        <v/>
      </c>
    </row>
    <row r="26" ht="19" customHeight="1">
      <c r="B26" s="47" t="n"/>
      <c r="C26" s="48" t="n"/>
      <c r="D26" s="49" t="n"/>
      <c r="E26" s="50" t="n"/>
      <c r="F26" s="51">
        <f>IF(OR(D26="",E26=""),"",D26/(1-E26))</f>
        <v/>
      </c>
      <c r="G26" s="49" t="n"/>
      <c r="H26" s="52">
        <f>IF(OR(G26="",D26=""),"",(G26-D26)/G26)</f>
        <v/>
      </c>
      <c r="I26" s="53">
        <f>IF(OR(H26="",E26=""),"",IF(H26&lt;E26,"NÍZKA","OK"))</f>
        <v/>
      </c>
    </row>
    <row r="27" ht="19" customHeight="1">
      <c r="B27" s="54" t="n"/>
      <c r="C27" s="55" t="n"/>
      <c r="D27" s="49" t="n"/>
      <c r="E27" s="50" t="n"/>
      <c r="F27" s="51">
        <f>IF(OR(D27="",E27=""),"",D27/(1-E27))</f>
        <v/>
      </c>
      <c r="G27" s="49" t="n"/>
      <c r="H27" s="52">
        <f>IF(OR(G27="",D27=""),"",(G27-D27)/G27)</f>
        <v/>
      </c>
      <c r="I27" s="56">
        <f>IF(OR(H27="",E27=""),"",IF(H27&lt;E27,"NÍZKA","OK"))</f>
        <v/>
      </c>
    </row>
    <row r="28" ht="19" customHeight="1">
      <c r="B28" s="47" t="n"/>
      <c r="C28" s="48" t="n"/>
      <c r="D28" s="49" t="n"/>
      <c r="E28" s="50" t="n"/>
      <c r="F28" s="51">
        <f>IF(OR(D28="",E28=""),"",D28/(1-E28))</f>
        <v/>
      </c>
      <c r="G28" s="49" t="n"/>
      <c r="H28" s="52">
        <f>IF(OR(G28="",D28=""),"",(G28-D28)/G28)</f>
        <v/>
      </c>
      <c r="I28" s="53">
        <f>IF(OR(H28="",E28=""),"",IF(H28&lt;E28,"NÍZKA","OK"))</f>
        <v/>
      </c>
    </row>
    <row r="29" ht="19" customHeight="1">
      <c r="B29" s="54" t="n"/>
      <c r="C29" s="55" t="n"/>
      <c r="D29" s="49" t="n"/>
      <c r="E29" s="50" t="n"/>
      <c r="F29" s="51">
        <f>IF(OR(D29="",E29=""),"",D29/(1-E29))</f>
        <v/>
      </c>
      <c r="G29" s="49" t="n"/>
      <c r="H29" s="52">
        <f>IF(OR(G29="",D29=""),"",(G29-D29)/G29)</f>
        <v/>
      </c>
      <c r="I29" s="56">
        <f>IF(OR(H29="",E29=""),"",IF(H29&lt;E29,"NÍZKA","OK"))</f>
        <v/>
      </c>
    </row>
    <row r="30">
      <c r="B30" s="57" t="inlineStr">
        <is>
          <t>Priemerná reálna marža</t>
        </is>
      </c>
      <c r="H30" s="46">
        <f>IFERROR(AVERAGEIF(H8:H29,"&lt;&gt;",H8:H29),0)</f>
        <v/>
      </c>
    </row>
    <row r="31">
      <c r="B31" s="57" t="inlineStr">
        <is>
          <t>Položky pod cieľom</t>
        </is>
      </c>
      <c r="H31" s="58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C3D5A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2.8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Sklad vozidiel</t>
        </is>
      </c>
    </row>
    <row r="2" ht="20" customHeight="1">
      <c r="B2" s="2" t="inlineStr">
        <is>
          <t>Obrátka skladu a hodnota odpisu (starnutie / zľavy)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45" customHeight="1">
      <c r="B8" s="15" t="inlineStr">
        <is>
          <t>Vozidlo / kategória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Odpis / zľava (starnutie) (množ.)</t>
        </is>
      </c>
      <c r="H8" s="15" t="inlineStr">
        <is>
          <t>Cena/jedn. €</t>
        </is>
      </c>
      <c r="I8" s="15" t="inlineStr">
        <is>
          <t>Hodnota — odpis / zľava (starnutie) €</t>
        </is>
      </c>
    </row>
    <row r="9" ht="19" customHeight="1">
      <c r="B9" s="47" t="inlineStr">
        <is>
          <t>Vozidlá do 90 dní</t>
        </is>
      </c>
      <c r="C9" s="48" t="n"/>
      <c r="D9" s="18" t="n"/>
      <c r="E9" s="18" t="n"/>
      <c r="F9" s="18" t="n"/>
      <c r="G9" s="18" t="n"/>
      <c r="H9" s="49" t="n"/>
      <c r="I9" s="51">
        <f>IF(OR(G9="",H9=""),"",G9*H9)</f>
        <v/>
      </c>
    </row>
    <row r="10" ht="19" customHeight="1">
      <c r="B10" s="54" t="inlineStr">
        <is>
          <t>Vozidlá 90–180 dní</t>
        </is>
      </c>
      <c r="C10" s="55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47" t="inlineStr">
        <is>
          <t>Vozidlá nad 180 dní</t>
        </is>
      </c>
      <c r="C11" s="4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4" t="inlineStr">
        <is>
          <t>Protiúčty (na predaj)</t>
        </is>
      </c>
      <c r="C12" s="55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47" t="inlineStr">
        <is>
          <t>Komisný predaj</t>
        </is>
      </c>
      <c r="C13" s="4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4" t="n"/>
      <c r="C14" s="55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47" t="n"/>
      <c r="C15" s="4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4" t="n"/>
      <c r="C16" s="55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47" t="n"/>
      <c r="C17" s="4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4" t="n"/>
      <c r="C18" s="55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47" t="n"/>
      <c r="C19" s="4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4" t="n"/>
      <c r="C20" s="55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47" t="n"/>
      <c r="C21" s="4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4" t="n"/>
      <c r="C22" s="55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47" t="n"/>
      <c r="C23" s="4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4" t="n"/>
      <c r="C24" s="55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47" t="n"/>
      <c r="C25" s="4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4" t="n"/>
      <c r="C26" s="55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>
      <c r="B27" s="57" t="inlineStr">
        <is>
          <t>Odpis / zľava (starnutie)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~15 % tržieb.</t>
        </is>
      </c>
    </row>
    <row r="9" ht="30" customHeight="1">
      <c r="B9" s="15" t="inlineStr">
        <is>
          <t>Pozícia (predajca / mechanik prípravy)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9" t="n"/>
      <c r="C10" s="18" t="n"/>
      <c r="D10" s="18" t="n"/>
      <c r="E10" s="18" t="n"/>
      <c r="F10" s="18" t="n"/>
      <c r="G10" s="18" t="n"/>
      <c r="H10" s="49" t="n"/>
      <c r="I10" s="51">
        <f>IF(OR(G10="",H10=""),"",G10*H10)</f>
        <v/>
      </c>
    </row>
    <row r="11" ht="19" customHeight="1">
      <c r="B11" s="59" t="n"/>
      <c r="C11" s="18" t="n"/>
      <c r="D11" s="18" t="n"/>
      <c r="E11" s="18" t="n"/>
      <c r="F11" s="18" t="n"/>
      <c r="G11" s="18" t="n"/>
      <c r="H11" s="49" t="n"/>
      <c r="I11" s="51">
        <f>IF(OR(G11="",H11=""),"",G11*H11)</f>
        <v/>
      </c>
    </row>
    <row r="12" ht="19" customHeight="1">
      <c r="B12" s="59" t="n"/>
      <c r="C12" s="18" t="n"/>
      <c r="D12" s="18" t="n"/>
      <c r="E12" s="18" t="n"/>
      <c r="F12" s="18" t="n"/>
      <c r="G12" s="18" t="n"/>
      <c r="H12" s="49" t="n"/>
      <c r="I12" s="51">
        <f>IF(OR(G12="",H12=""),"",G12*H12)</f>
        <v/>
      </c>
    </row>
    <row r="13" ht="19" customHeight="1">
      <c r="B13" s="59" t="n"/>
      <c r="C13" s="18" t="n"/>
      <c r="D13" s="18" t="n"/>
      <c r="E13" s="18" t="n"/>
      <c r="F13" s="18" t="n"/>
      <c r="G13" s="18" t="n"/>
      <c r="H13" s="49" t="n"/>
      <c r="I13" s="51">
        <f>IF(OR(G13="",H13=""),"",G13*H13)</f>
        <v/>
      </c>
    </row>
    <row r="14" ht="19" customHeight="1">
      <c r="B14" s="59" t="n"/>
      <c r="C14" s="18" t="n"/>
      <c r="D14" s="18" t="n"/>
      <c r="E14" s="18" t="n"/>
      <c r="F14" s="18" t="n"/>
      <c r="G14" s="18" t="n"/>
      <c r="H14" s="49" t="n"/>
      <c r="I14" s="51">
        <f>IF(OR(G14="",H14=""),"",G14*H14)</f>
        <v/>
      </c>
    </row>
    <row r="15" ht="19" customHeight="1">
      <c r="B15" s="59" t="n"/>
      <c r="C15" s="18" t="n"/>
      <c r="D15" s="18" t="n"/>
      <c r="E15" s="18" t="n"/>
      <c r="F15" s="18" t="n"/>
      <c r="G15" s="18" t="n"/>
      <c r="H15" s="49" t="n"/>
      <c r="I15" s="51">
        <f>IF(OR(G15="",H15=""),"",G15*H15)</f>
        <v/>
      </c>
    </row>
    <row r="16" ht="19" customHeight="1">
      <c r="B16" s="59" t="n"/>
      <c r="C16" s="18" t="n"/>
      <c r="D16" s="18" t="n"/>
      <c r="E16" s="18" t="n"/>
      <c r="F16" s="18" t="n"/>
      <c r="G16" s="18" t="n"/>
      <c r="H16" s="49" t="n"/>
      <c r="I16" s="51">
        <f>IF(OR(G16="",H16=""),"",G16*H16)</f>
        <v/>
      </c>
    </row>
    <row r="17" ht="19" customHeight="1">
      <c r="B17" s="59" t="n"/>
      <c r="C17" s="18" t="n"/>
      <c r="D17" s="18" t="n"/>
      <c r="E17" s="18" t="n"/>
      <c r="F17" s="18" t="n"/>
      <c r="G17" s="18" t="n"/>
      <c r="H17" s="49" t="n"/>
      <c r="I17" s="51">
        <f>IF(OR(G17="",H17=""),"",G17*H17)</f>
        <v/>
      </c>
    </row>
    <row r="18" ht="19" customHeight="1">
      <c r="B18" s="59" t="n"/>
      <c r="C18" s="18" t="n"/>
      <c r="D18" s="18" t="n"/>
      <c r="E18" s="18" t="n"/>
      <c r="F18" s="18" t="n"/>
      <c r="G18" s="18" t="n"/>
      <c r="H18" s="49" t="n"/>
      <c r="I18" s="51">
        <f>IF(OR(G18="",H18=""),"",G18*H18)</f>
        <v/>
      </c>
    </row>
    <row r="19" ht="19" customHeight="1">
      <c r="B19" s="59" t="n"/>
      <c r="C19" s="18" t="n"/>
      <c r="D19" s="18" t="n"/>
      <c r="E19" s="18" t="n"/>
      <c r="F19" s="18" t="n"/>
      <c r="G19" s="18" t="n"/>
      <c r="H19" s="49" t="n"/>
      <c r="I19" s="51">
        <f>IF(OR(G19="",H19=""),"",G19*H19)</f>
        <v/>
      </c>
    </row>
    <row r="20" ht="19" customHeight="1">
      <c r="B20" s="59" t="n"/>
      <c r="C20" s="18" t="n"/>
      <c r="D20" s="18" t="n"/>
      <c r="E20" s="18" t="n"/>
      <c r="F20" s="18" t="n"/>
      <c r="G20" s="18" t="n"/>
      <c r="H20" s="49" t="n"/>
      <c r="I20" s="51">
        <f>IF(OR(G20="",H20=""),"",G20*H20)</f>
        <v/>
      </c>
    </row>
    <row r="21" ht="19" customHeight="1">
      <c r="B21" s="59" t="n"/>
      <c r="C21" s="18" t="n"/>
      <c r="D21" s="18" t="n"/>
      <c r="E21" s="18" t="n"/>
      <c r="F21" s="18" t="n"/>
      <c r="G21" s="18" t="n"/>
      <c r="H21" s="49" t="n"/>
      <c r="I21" s="51">
        <f>IF(OR(G21="",H21=""),"",G21*H21)</f>
        <v/>
      </c>
    </row>
    <row r="22" ht="19" customHeight="1">
      <c r="B22" s="59" t="n"/>
      <c r="C22" s="18" t="n"/>
      <c r="D22" s="18" t="n"/>
      <c r="E22" s="18" t="n"/>
      <c r="F22" s="18" t="n"/>
      <c r="G22" s="18" t="n"/>
      <c r="H22" s="49" t="n"/>
      <c r="I22" s="51">
        <f>IF(OR(G22="",H22=""),"",G22*H22)</f>
        <v/>
      </c>
    </row>
    <row r="23" ht="19" customHeight="1">
      <c r="B23" s="59" t="n"/>
      <c r="C23" s="18" t="n"/>
      <c r="D23" s="18" t="n"/>
      <c r="E23" s="18" t="n"/>
      <c r="F23" s="18" t="n"/>
      <c r="G23" s="18" t="n"/>
      <c r="H23" s="49" t="n"/>
      <c r="I23" s="51">
        <f>IF(OR(G23="",H23=""),"",G23*H23)</f>
        <v/>
      </c>
    </row>
    <row r="24" ht="19" customHeight="1">
      <c r="B24" s="59" t="n"/>
      <c r="C24" s="18" t="n"/>
      <c r="D24" s="18" t="n"/>
      <c r="E24" s="18" t="n"/>
      <c r="F24" s="18" t="n"/>
      <c r="G24" s="18" t="n"/>
      <c r="H24" s="49" t="n"/>
      <c r="I24" s="51">
        <f>IF(OR(G24="",H24=""),"",G24*H24)</f>
        <v/>
      </c>
    </row>
    <row r="25" ht="19" customHeight="1">
      <c r="B25" s="59" t="n"/>
      <c r="C25" s="18" t="n"/>
      <c r="D25" s="18" t="n"/>
      <c r="E25" s="18" t="n"/>
      <c r="F25" s="18" t="n"/>
      <c r="G25" s="18" t="n"/>
      <c r="H25" s="49" t="n"/>
      <c r="I25" s="51">
        <f>IF(OR(G25="",H25=""),"",G25*H25)</f>
        <v/>
      </c>
    </row>
    <row r="26" ht="19" customHeight="1">
      <c r="B26" s="59" t="n"/>
      <c r="C26" s="18" t="n"/>
      <c r="D26" s="18" t="n"/>
      <c r="E26" s="18" t="n"/>
      <c r="F26" s="18" t="n"/>
      <c r="G26" s="18" t="n"/>
      <c r="H26" s="49" t="n"/>
      <c r="I26" s="51">
        <f>IF(OR(G26="",H26=""),"",G26*H26)</f>
        <v/>
      </c>
    </row>
    <row r="27" ht="19" customHeight="1">
      <c r="B27" s="59" t="n"/>
      <c r="C27" s="18" t="n"/>
      <c r="D27" s="18" t="n"/>
      <c r="E27" s="18" t="n"/>
      <c r="F27" s="18" t="n"/>
      <c r="G27" s="18" t="n"/>
      <c r="H27" s="49" t="n"/>
      <c r="I27" s="51">
        <f>IF(OR(G27="",H27=""),"",G27*H27)</f>
        <v/>
      </c>
    </row>
    <row r="28" ht="19" customHeight="1">
      <c r="B28" s="59" t="n"/>
      <c r="C28" s="18" t="n"/>
      <c r="D28" s="18" t="n"/>
      <c r="E28" s="18" t="n"/>
      <c r="F28" s="18" t="n"/>
      <c r="G28" s="18" t="n"/>
      <c r="H28" s="49" t="n"/>
      <c r="I28" s="51">
        <f>IF(OR(G28="",H28=""),"",G28*H28)</f>
        <v/>
      </c>
    </row>
    <row r="29" ht="19" customHeight="1">
      <c r="B29" s="59" t="n"/>
      <c r="C29" s="18" t="n"/>
      <c r="D29" s="18" t="n"/>
      <c r="E29" s="18" t="n"/>
      <c r="F29" s="18" t="n"/>
      <c r="G29" s="18" t="n"/>
      <c r="H29" s="49" t="n"/>
      <c r="I29" s="51">
        <f>IF(OR(G29="",H29=""),"",G29*H29)</f>
        <v/>
      </c>
    </row>
    <row r="30">
      <c r="B30" s="57" t="inlineStr">
        <is>
          <t>Mzdové náklady spolu</t>
        </is>
      </c>
      <c r="I30" s="42">
        <f>SUM(I10:I29)</f>
        <v/>
      </c>
    </row>
    <row r="31">
      <c r="B31" s="57" t="inlineStr">
        <is>
          <t>Podiel miezd na tržbách</t>
        </is>
      </c>
      <c r="I31" s="4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0.15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C3D5A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Predaj vozidiel a úhrady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Kúpne zmluvy · zálohy · financovanie · hotovosť · prevody.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60" t="n"/>
      <c r="C9" s="49" t="n"/>
      <c r="D9" s="49" t="n"/>
      <c r="E9" s="49" t="n"/>
      <c r="F9" s="49" t="n"/>
      <c r="G9" s="51">
        <f>IF(AND(D9="",E9=""),"",D9+E9)</f>
        <v/>
      </c>
      <c r="H9" s="51">
        <f>IF(OR(C9="",G9=""),"",G9-C9)</f>
        <v/>
      </c>
      <c r="I9" s="18" t="n"/>
    </row>
    <row r="10" ht="19" customHeight="1">
      <c r="B10" s="60" t="n"/>
      <c r="C10" s="49" t="n"/>
      <c r="D10" s="49" t="n"/>
      <c r="E10" s="49" t="n"/>
      <c r="F10" s="49" t="n"/>
      <c r="G10" s="51">
        <f>IF(AND(D10="",E10=""),"",D10+E10)</f>
        <v/>
      </c>
      <c r="H10" s="51">
        <f>IF(OR(C10="",G10=""),"",G10-C10)</f>
        <v/>
      </c>
      <c r="I10" s="18" t="n"/>
    </row>
    <row r="11" ht="19" customHeight="1">
      <c r="B11" s="60" t="n"/>
      <c r="C11" s="49" t="n"/>
      <c r="D11" s="49" t="n"/>
      <c r="E11" s="49" t="n"/>
      <c r="F11" s="49" t="n"/>
      <c r="G11" s="51">
        <f>IF(AND(D11="",E11=""),"",D11+E11)</f>
        <v/>
      </c>
      <c r="H11" s="51">
        <f>IF(OR(C11="",G11=""),"",G11-C11)</f>
        <v/>
      </c>
      <c r="I11" s="18" t="n"/>
    </row>
    <row r="12" ht="19" customHeight="1">
      <c r="B12" s="60" t="n"/>
      <c r="C12" s="49" t="n"/>
      <c r="D12" s="49" t="n"/>
      <c r="E12" s="49" t="n"/>
      <c r="F12" s="49" t="n"/>
      <c r="G12" s="51">
        <f>IF(AND(D12="",E12=""),"",D12+E12)</f>
        <v/>
      </c>
      <c r="H12" s="51">
        <f>IF(OR(C12="",G12=""),"",G12-C12)</f>
        <v/>
      </c>
      <c r="I12" s="18" t="n"/>
    </row>
    <row r="13" ht="19" customHeight="1">
      <c r="B13" s="60" t="n"/>
      <c r="C13" s="49" t="n"/>
      <c r="D13" s="49" t="n"/>
      <c r="E13" s="49" t="n"/>
      <c r="F13" s="49" t="n"/>
      <c r="G13" s="51">
        <f>IF(AND(D13="",E13=""),"",D13+E13)</f>
        <v/>
      </c>
      <c r="H13" s="51">
        <f>IF(OR(C13="",G13=""),"",G13-C13)</f>
        <v/>
      </c>
      <c r="I13" s="18" t="n"/>
    </row>
    <row r="14" ht="19" customHeight="1">
      <c r="B14" s="60" t="n"/>
      <c r="C14" s="49" t="n"/>
      <c r="D14" s="49" t="n"/>
      <c r="E14" s="49" t="n"/>
      <c r="F14" s="49" t="n"/>
      <c r="G14" s="51">
        <f>IF(AND(D14="",E14=""),"",D14+E14)</f>
        <v/>
      </c>
      <c r="H14" s="51">
        <f>IF(OR(C14="",G14=""),"",G14-C14)</f>
        <v/>
      </c>
      <c r="I14" s="18" t="n"/>
    </row>
    <row r="15" ht="19" customHeight="1">
      <c r="B15" s="60" t="n"/>
      <c r="C15" s="49" t="n"/>
      <c r="D15" s="49" t="n"/>
      <c r="E15" s="49" t="n"/>
      <c r="F15" s="49" t="n"/>
      <c r="G15" s="51">
        <f>IF(AND(D15="",E15=""),"",D15+E15)</f>
        <v/>
      </c>
      <c r="H15" s="51">
        <f>IF(OR(C15="",G15=""),"",G15-C15)</f>
        <v/>
      </c>
      <c r="I15" s="18" t="n"/>
    </row>
    <row r="16" ht="19" customHeight="1">
      <c r="B16" s="60" t="n"/>
      <c r="C16" s="49" t="n"/>
      <c r="D16" s="49" t="n"/>
      <c r="E16" s="49" t="n"/>
      <c r="F16" s="49" t="n"/>
      <c r="G16" s="51">
        <f>IF(AND(D16="",E16=""),"",D16+E16)</f>
        <v/>
      </c>
      <c r="H16" s="51">
        <f>IF(OR(C16="",G16=""),"",G16-C16)</f>
        <v/>
      </c>
      <c r="I16" s="18" t="n"/>
    </row>
    <row r="17" ht="19" customHeight="1">
      <c r="B17" s="60" t="n"/>
      <c r="C17" s="49" t="n"/>
      <c r="D17" s="49" t="n"/>
      <c r="E17" s="49" t="n"/>
      <c r="F17" s="49" t="n"/>
      <c r="G17" s="51">
        <f>IF(AND(D17="",E17=""),"",D17+E17)</f>
        <v/>
      </c>
      <c r="H17" s="51">
        <f>IF(OR(C17="",G17=""),"",G17-C17)</f>
        <v/>
      </c>
      <c r="I17" s="18" t="n"/>
    </row>
    <row r="18" ht="19" customHeight="1">
      <c r="B18" s="60" t="n"/>
      <c r="C18" s="49" t="n"/>
      <c r="D18" s="49" t="n"/>
      <c r="E18" s="49" t="n"/>
      <c r="F18" s="49" t="n"/>
      <c r="G18" s="51">
        <f>IF(AND(D18="",E18=""),"",D18+E18)</f>
        <v/>
      </c>
      <c r="H18" s="51">
        <f>IF(OR(C18="",G18=""),"",G18-C18)</f>
        <v/>
      </c>
      <c r="I18" s="18" t="n"/>
    </row>
    <row r="19" ht="19" customHeight="1">
      <c r="B19" s="60" t="n"/>
      <c r="C19" s="49" t="n"/>
      <c r="D19" s="49" t="n"/>
      <c r="E19" s="49" t="n"/>
      <c r="F19" s="49" t="n"/>
      <c r="G19" s="51">
        <f>IF(AND(D19="",E19=""),"",D19+E19)</f>
        <v/>
      </c>
      <c r="H19" s="51">
        <f>IF(OR(C19="",G19=""),"",G19-C19)</f>
        <v/>
      </c>
      <c r="I19" s="18" t="n"/>
    </row>
    <row r="20" ht="19" customHeight="1">
      <c r="B20" s="60" t="n"/>
      <c r="C20" s="49" t="n"/>
      <c r="D20" s="49" t="n"/>
      <c r="E20" s="49" t="n"/>
      <c r="F20" s="49" t="n"/>
      <c r="G20" s="51">
        <f>IF(AND(D20="",E20=""),"",D20+E20)</f>
        <v/>
      </c>
      <c r="H20" s="51">
        <f>IF(OR(C20="",G20=""),"",G20-C20)</f>
        <v/>
      </c>
      <c r="I20" s="18" t="n"/>
    </row>
    <row r="21" ht="19" customHeight="1">
      <c r="B21" s="60" t="n"/>
      <c r="C21" s="49" t="n"/>
      <c r="D21" s="49" t="n"/>
      <c r="E21" s="49" t="n"/>
      <c r="F21" s="49" t="n"/>
      <c r="G21" s="51">
        <f>IF(AND(D21="",E21=""),"",D21+E21)</f>
        <v/>
      </c>
      <c r="H21" s="51">
        <f>IF(OR(C21="",G21=""),"",G21-C21)</f>
        <v/>
      </c>
      <c r="I21" s="18" t="n"/>
    </row>
    <row r="22" ht="19" customHeight="1">
      <c r="B22" s="60" t="n"/>
      <c r="C22" s="49" t="n"/>
      <c r="D22" s="49" t="n"/>
      <c r="E22" s="49" t="n"/>
      <c r="F22" s="49" t="n"/>
      <c r="G22" s="51">
        <f>IF(AND(D22="",E22=""),"",D22+E22)</f>
        <v/>
      </c>
      <c r="H22" s="51">
        <f>IF(OR(C22="",G22=""),"",G22-C22)</f>
        <v/>
      </c>
      <c r="I22" s="18" t="n"/>
    </row>
    <row r="23" ht="19" customHeight="1">
      <c r="B23" s="60" t="n"/>
      <c r="C23" s="49" t="n"/>
      <c r="D23" s="49" t="n"/>
      <c r="E23" s="49" t="n"/>
      <c r="F23" s="49" t="n"/>
      <c r="G23" s="51">
        <f>IF(AND(D23="",E23=""),"",D23+E23)</f>
        <v/>
      </c>
      <c r="H23" s="51">
        <f>IF(OR(C23="",G23=""),"",G23-C23)</f>
        <v/>
      </c>
      <c r="I23" s="18" t="n"/>
    </row>
    <row r="24" ht="19" customHeight="1">
      <c r="B24" s="60" t="n"/>
      <c r="C24" s="49" t="n"/>
      <c r="D24" s="49" t="n"/>
      <c r="E24" s="49" t="n"/>
      <c r="F24" s="49" t="n"/>
      <c r="G24" s="51">
        <f>IF(AND(D24="",E24=""),"",D24+E24)</f>
        <v/>
      </c>
      <c r="H24" s="51">
        <f>IF(OR(C24="",G24=""),"",G24-C24)</f>
        <v/>
      </c>
      <c r="I24" s="18" t="n"/>
    </row>
    <row r="25" ht="19" customHeight="1">
      <c r="B25" s="60" t="n"/>
      <c r="C25" s="49" t="n"/>
      <c r="D25" s="49" t="n"/>
      <c r="E25" s="49" t="n"/>
      <c r="F25" s="49" t="n"/>
      <c r="G25" s="51">
        <f>IF(AND(D25="",E25=""),"",D25+E25)</f>
        <v/>
      </c>
      <c r="H25" s="51">
        <f>IF(OR(C25="",G25=""),"",G25-C25)</f>
        <v/>
      </c>
      <c r="I25" s="18" t="n"/>
    </row>
    <row r="26" ht="19" customHeight="1">
      <c r="B26" s="60" t="n"/>
      <c r="C26" s="49" t="n"/>
      <c r="D26" s="49" t="n"/>
      <c r="E26" s="49" t="n"/>
      <c r="F26" s="49" t="n"/>
      <c r="G26" s="51">
        <f>IF(AND(D26="",E26=""),"",D26+E26)</f>
        <v/>
      </c>
      <c r="H26" s="51">
        <f>IF(OR(C26="",G26=""),"",G26-C26)</f>
        <v/>
      </c>
      <c r="I26" s="18" t="n"/>
    </row>
    <row r="27" ht="19" customHeight="1">
      <c r="B27" s="60" t="n"/>
      <c r="C27" s="49" t="n"/>
      <c r="D27" s="49" t="n"/>
      <c r="E27" s="49" t="n"/>
      <c r="F27" s="49" t="n"/>
      <c r="G27" s="51">
        <f>IF(AND(D27="",E27=""),"",D27+E27)</f>
        <v/>
      </c>
      <c r="H27" s="51">
        <f>IF(OR(C27="",G27=""),"",G27-C27)</f>
        <v/>
      </c>
      <c r="I27" s="18" t="n"/>
    </row>
    <row r="28" ht="19" customHeight="1">
      <c r="B28" s="60" t="n"/>
      <c r="C28" s="49" t="n"/>
      <c r="D28" s="49" t="n"/>
      <c r="E28" s="49" t="n"/>
      <c r="F28" s="49" t="n"/>
      <c r="G28" s="51">
        <f>IF(AND(D28="",E28=""),"",D28+E28)</f>
        <v/>
      </c>
      <c r="H28" s="51">
        <f>IF(OR(C28="",G28=""),"",G28-C28)</f>
        <v/>
      </c>
      <c r="I28" s="18" t="n"/>
    </row>
    <row r="29" ht="19" customHeight="1">
      <c r="B29" s="60" t="n"/>
      <c r="C29" s="49" t="n"/>
      <c r="D29" s="49" t="n"/>
      <c r="E29" s="49" t="n"/>
      <c r="F29" s="49" t="n"/>
      <c r="G29" s="51">
        <f>IF(AND(D29="",E29=""),"",D29+E29)</f>
        <v/>
      </c>
      <c r="H29" s="51">
        <f>IF(OR(C29="",G29=""),"",G29-C29)</f>
        <v/>
      </c>
      <c r="I29" s="18" t="n"/>
    </row>
    <row r="30" ht="19" customHeight="1">
      <c r="B30" s="60" t="n"/>
      <c r="C30" s="49" t="n"/>
      <c r="D30" s="49" t="n"/>
      <c r="E30" s="49" t="n"/>
      <c r="F30" s="49" t="n"/>
      <c r="G30" s="51">
        <f>IF(AND(D30="",E30=""),"",D30+E30)</f>
        <v/>
      </c>
      <c r="H30" s="51">
        <f>IF(OR(C30="",G30=""),"",G30-C30)</f>
        <v/>
      </c>
      <c r="I30" s="18" t="n"/>
    </row>
    <row r="31" ht="19" customHeight="1">
      <c r="B31" s="60" t="n"/>
      <c r="C31" s="49" t="n"/>
      <c r="D31" s="49" t="n"/>
      <c r="E31" s="49" t="n"/>
      <c r="F31" s="49" t="n"/>
      <c r="G31" s="51">
        <f>IF(AND(D31="",E31=""),"",D31+E31)</f>
        <v/>
      </c>
      <c r="H31" s="51">
        <f>IF(OR(C31="",G31=""),"",G31-C31)</f>
        <v/>
      </c>
      <c r="I31" s="18" t="n"/>
    </row>
    <row r="32" ht="19" customHeight="1">
      <c r="B32" s="60" t="n"/>
      <c r="C32" s="49" t="n"/>
      <c r="D32" s="49" t="n"/>
      <c r="E32" s="49" t="n"/>
      <c r="F32" s="49" t="n"/>
      <c r="G32" s="51">
        <f>IF(AND(D32="",E32=""),"",D32+E32)</f>
        <v/>
      </c>
      <c r="H32" s="51">
        <f>IF(OR(C32="",G32=""),"",G32-C32)</f>
        <v/>
      </c>
      <c r="I32" s="18" t="n"/>
    </row>
    <row r="33" ht="19" customHeight="1">
      <c r="B33" s="60" t="n"/>
      <c r="C33" s="49" t="n"/>
      <c r="D33" s="49" t="n"/>
      <c r="E33" s="49" t="n"/>
      <c r="F33" s="49" t="n"/>
      <c r="G33" s="51">
        <f>IF(AND(D33="",E33=""),"",D33+E33)</f>
        <v/>
      </c>
      <c r="H33" s="51">
        <f>IF(OR(C33="",G33=""),"",G33-C33)</f>
        <v/>
      </c>
      <c r="I33" s="18" t="n"/>
    </row>
    <row r="34" ht="19" customHeight="1">
      <c r="B34" s="60" t="n"/>
      <c r="C34" s="49" t="n"/>
      <c r="D34" s="49" t="n"/>
      <c r="E34" s="49" t="n"/>
      <c r="F34" s="49" t="n"/>
      <c r="G34" s="51">
        <f>IF(AND(D34="",E34=""),"",D34+E34)</f>
        <v/>
      </c>
      <c r="H34" s="51">
        <f>IF(OR(C34="",G34=""),"",G34-C34)</f>
        <v/>
      </c>
      <c r="I34" s="18" t="n"/>
    </row>
    <row r="35" ht="19" customHeight="1">
      <c r="B35" s="60" t="n"/>
      <c r="C35" s="49" t="n"/>
      <c r="D35" s="49" t="n"/>
      <c r="E35" s="49" t="n"/>
      <c r="F35" s="49" t="n"/>
      <c r="G35" s="51">
        <f>IF(AND(D35="",E35=""),"",D35+E35)</f>
        <v/>
      </c>
      <c r="H35" s="51">
        <f>IF(OR(C35="",G35=""),"",G35-C35)</f>
        <v/>
      </c>
      <c r="I35" s="18" t="n"/>
    </row>
    <row r="36" ht="19" customHeight="1">
      <c r="B36" s="60" t="n"/>
      <c r="C36" s="49" t="n"/>
      <c r="D36" s="49" t="n"/>
      <c r="E36" s="49" t="n"/>
      <c r="F36" s="49" t="n"/>
      <c r="G36" s="51">
        <f>IF(AND(D36="",E36=""),"",D36+E36)</f>
        <v/>
      </c>
      <c r="H36" s="51">
        <f>IF(OR(C36="",G36=""),"",G36-C36)</f>
        <v/>
      </c>
      <c r="I36" s="18" t="n"/>
    </row>
    <row r="37" ht="19" customHeight="1">
      <c r="B37" s="60" t="n"/>
      <c r="C37" s="49" t="n"/>
      <c r="D37" s="49" t="n"/>
      <c r="E37" s="49" t="n"/>
      <c r="F37" s="49" t="n"/>
      <c r="G37" s="51">
        <f>IF(AND(D37="",E37=""),"",D37+E37)</f>
        <v/>
      </c>
      <c r="H37" s="51">
        <f>IF(OR(C37="",G37=""),"",G37-C37)</f>
        <v/>
      </c>
      <c r="I37" s="18" t="n"/>
    </row>
    <row r="38" ht="19" customHeight="1">
      <c r="B38" s="60" t="n"/>
      <c r="C38" s="49" t="n"/>
      <c r="D38" s="49" t="n"/>
      <c r="E38" s="49" t="n"/>
      <c r="F38" s="49" t="n"/>
      <c r="G38" s="51">
        <f>IF(AND(D38="",E38=""),"",D38+E38)</f>
        <v/>
      </c>
      <c r="H38" s="51">
        <f>IF(OR(C38="",G38=""),"",G38-C38)</f>
        <v/>
      </c>
      <c r="I38" s="18" t="n"/>
    </row>
    <row r="39" ht="19" customHeight="1">
      <c r="B39" s="60" t="n"/>
      <c r="C39" s="49" t="n"/>
      <c r="D39" s="49" t="n"/>
      <c r="E39" s="49" t="n"/>
      <c r="F39" s="49" t="n"/>
      <c r="G39" s="51">
        <f>IF(AND(D39="",E39=""),"",D39+E39)</f>
        <v/>
      </c>
      <c r="H39" s="51">
        <f>IF(OR(C39="",G39=""),"",G39-C39)</f>
        <v/>
      </c>
      <c r="I39" s="18" t="n"/>
    </row>
    <row r="40">
      <c r="B40" s="57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1A26"/>
    <outlinePr summaryBelow="1" summaryRight="1"/>
    <pageSetUpPr/>
  </sheetPr>
  <dimension ref="A1:K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6.1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60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DPH — osobitná úprava (marža) pri jazdených vozidlách</t>
        </is>
      </c>
      <c r="F7" s="15" t="inlineStr">
        <is>
          <t>Limit platby v hotovosti (zákon 394/2012 Z. z.)</t>
        </is>
      </c>
      <c r="G7" s="15" t="inlineStr">
        <is>
          <t>Spotrebiteľské práva a záruka (jazdené vozidlá)</t>
        </is>
      </c>
      <c r="H7" s="15" t="inlineStr">
        <is>
          <t>Ochrana osobných údajov (GDPR)</t>
        </is>
      </c>
      <c r="I7" s="15" t="inlineStr">
        <is>
          <t>AML pri vysokých platbách</t>
        </is>
      </c>
      <c r="J7" s="15" t="inlineStr">
        <is>
          <t>BOZP / prvá pomoc</t>
        </is>
      </c>
      <c r="K7" s="15" t="inlineStr">
        <is>
          <t>Preškolenie</t>
        </is>
      </c>
    </row>
    <row r="8" ht="19" customHeight="1">
      <c r="B8" s="59" t="n"/>
      <c r="C8" s="61" t="n"/>
      <c r="D8" s="61" t="n"/>
      <c r="E8" s="61" t="n"/>
      <c r="F8" s="61" t="n"/>
      <c r="G8" s="61" t="n"/>
      <c r="H8" s="61" t="n"/>
      <c r="I8" s="61" t="n"/>
      <c r="J8" s="61" t="n"/>
      <c r="K8" s="48" t="n"/>
    </row>
    <row r="9" ht="19" customHeight="1">
      <c r="B9" s="59" t="n"/>
      <c r="C9" s="61" t="n"/>
      <c r="D9" s="61" t="n"/>
      <c r="E9" s="61" t="n"/>
      <c r="F9" s="61" t="n"/>
      <c r="G9" s="61" t="n"/>
      <c r="H9" s="61" t="n"/>
      <c r="I9" s="61" t="n"/>
      <c r="J9" s="61" t="n"/>
      <c r="K9" s="55" t="n"/>
    </row>
    <row r="10" ht="19" customHeight="1">
      <c r="B10" s="59" t="n"/>
      <c r="C10" s="61" t="n"/>
      <c r="D10" s="61" t="n"/>
      <c r="E10" s="61" t="n"/>
      <c r="F10" s="61" t="n"/>
      <c r="G10" s="61" t="n"/>
      <c r="H10" s="61" t="n"/>
      <c r="I10" s="61" t="n"/>
      <c r="J10" s="61" t="n"/>
      <c r="K10" s="48" t="n"/>
    </row>
    <row r="11" ht="19" customHeight="1">
      <c r="B11" s="59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55" t="n"/>
    </row>
    <row r="12" ht="19" customHeight="1">
      <c r="B12" s="59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48" t="n"/>
    </row>
    <row r="13" ht="19" customHeight="1">
      <c r="B13" s="59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55" t="n"/>
    </row>
    <row r="14" ht="19" customHeight="1">
      <c r="B14" s="59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48" t="n"/>
    </row>
    <row r="15" ht="19" customHeight="1">
      <c r="B15" s="59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55" t="n"/>
    </row>
    <row r="16" ht="19" customHeight="1">
      <c r="B16" s="59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48" t="n"/>
    </row>
    <row r="17" ht="19" customHeight="1">
      <c r="B17" s="59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55" t="n"/>
    </row>
    <row r="18" ht="19" customHeight="1">
      <c r="B18" s="59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48" t="n"/>
    </row>
    <row r="19" ht="19" customHeight="1">
      <c r="B19" s="59" t="n"/>
      <c r="C19" s="61" t="n"/>
      <c r="D19" s="61" t="n"/>
      <c r="E19" s="61" t="n"/>
      <c r="F19" s="61" t="n"/>
      <c r="G19" s="61" t="n"/>
      <c r="H19" s="61" t="n"/>
      <c r="I19" s="61" t="n"/>
      <c r="J19" s="61" t="n"/>
      <c r="K19" s="55" t="n"/>
    </row>
    <row r="20" ht="19" customHeight="1">
      <c r="B20" s="59" t="n"/>
      <c r="C20" s="61" t="n"/>
      <c r="D20" s="61" t="n"/>
      <c r="E20" s="61" t="n"/>
      <c r="F20" s="61" t="n"/>
      <c r="G20" s="61" t="n"/>
      <c r="H20" s="61" t="n"/>
      <c r="I20" s="61" t="n"/>
      <c r="J20" s="61" t="n"/>
      <c r="K20" s="48" t="n"/>
    </row>
    <row r="21" ht="19" customHeight="1"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55" t="n"/>
    </row>
    <row r="22" ht="19" customHeight="1">
      <c r="B22" s="59" t="n"/>
      <c r="C22" s="61" t="n"/>
      <c r="D22" s="61" t="n"/>
      <c r="E22" s="61" t="n"/>
      <c r="F22" s="61" t="n"/>
      <c r="G22" s="61" t="n"/>
      <c r="H22" s="61" t="n"/>
      <c r="I22" s="61" t="n"/>
      <c r="J22" s="61" t="n"/>
      <c r="K22" s="48" t="n"/>
    </row>
    <row r="23" ht="19" customHeight="1">
      <c r="B23" s="59" t="n"/>
      <c r="C23" s="61" t="n"/>
      <c r="D23" s="61" t="n"/>
      <c r="E23" s="61" t="n"/>
      <c r="F23" s="61" t="n"/>
      <c r="G23" s="61" t="n"/>
      <c r="H23" s="61" t="n"/>
      <c r="I23" s="61" t="n"/>
      <c r="J23" s="61" t="n"/>
      <c r="K23" s="55" t="n"/>
    </row>
    <row r="24"/>
    <row r="25" ht="30" customHeight="1">
      <c r="B25" s="62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1:K1"/>
    <mergeCell ref="C5:E5"/>
    <mergeCell ref="B25:K25"/>
    <mergeCell ref="B6:K6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Predaj automobilov / autobazár (SK)</dc:title>
  <dcterms:created xsi:type="dcterms:W3CDTF">2026-05-31T20:10:22Z</dcterms:created>
  <dcterms:modified xsi:type="dcterms:W3CDTF">2026-05-31T20:10:22Z</dcterms:modified>
</cp:coreProperties>
</file>