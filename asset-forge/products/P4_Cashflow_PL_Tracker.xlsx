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tart Here · Začnite tu" sheetId="1" state="visible" r:id="rId1"/>
    <sheet name="01 · Cashflow &amp; 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A5F"/>
      <sz val="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2A7D7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164" fontId="11" fillId="5" borderId="1" pivotButton="0" quotePrefix="0" xfId="0"/>
    <xf numFmtId="164" fontId="12" fillId="4" borderId="1" pivotButton="0" quotePrefix="0" xfId="0"/>
    <xf numFmtId="0" fontId="13" fillId="0" borderId="1" applyAlignment="1" pivotButton="0" quotePrefix="0" xfId="0">
      <alignment horizontal="left" vertical="center" indent="1"/>
    </xf>
    <xf numFmtId="164" fontId="11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1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Cashflow &amp; P&amp;L Tracker  |  Sledovač cash flow a ziskov a strát</t>
        </is>
      </c>
    </row>
    <row r="2" ht="26" customHeight="1">
      <c r="A2" s="2" t="inlineStr">
        <is>
          <t>12-month rolling cash position + monthly P&amp;L: revenue → GP → net profit → closing cash, auto-calculated  ·  12-mesačný cash flow a mesačný výkaz: tržby → hrubá marža → zisk → konečná hotovosť</t>
        </is>
      </c>
    </row>
    <row r="4">
      <c r="A4" s="3" t="inlineStr">
        <is>
          <t>Leanta · leanta.ie · v1.0 · 09/06/2026 · single-business licence / licencia pre jednu prevádzku</t>
        </is>
      </c>
    </row>
    <row r="6">
      <c r="A6" s="4" t="inlineStr">
        <is>
          <t>How to use · Ako používať</t>
        </is>
      </c>
    </row>
    <row r="7" ht="26" customHeight="1">
      <c r="A7" s="5" t="inlineStr">
        <is>
          <t>1</t>
        </is>
      </c>
      <c r="B7" s="6" t="inlineStr">
        <is>
          <t>Enter opening cash once.</t>
        </is>
      </c>
      <c r="C7" s="7" t="n"/>
      <c r="D7" s="8" t="inlineStr">
        <is>
          <t>Zadajte počiatočnú hotovosť.</t>
        </is>
      </c>
      <c r="E7" s="7" t="n"/>
    </row>
    <row r="8" ht="26" customHeight="1">
      <c r="A8" s="5" t="inlineStr">
        <is>
          <t>2</t>
        </is>
      </c>
      <c r="B8" s="6" t="inlineStr">
        <is>
          <t>Each month, fill revenue and cost lines — totals and closing cash calculate themselves.</t>
        </is>
      </c>
      <c r="C8" s="7" t="n"/>
      <c r="D8" s="8" t="inlineStr">
        <is>
          <t>Každý mesiac vyplňte tržby a náklady — súčty sa vypočítajú samé.</t>
        </is>
      </c>
      <c r="E8" s="7" t="n"/>
    </row>
    <row r="9" ht="26" customHeight="1">
      <c r="A9" s="5" t="inlineStr">
        <is>
          <t>3</t>
        </is>
      </c>
      <c r="B9" s="6" t="inlineStr">
        <is>
          <t>Negative closing cash turns red months ahead — act early.</t>
        </is>
      </c>
      <c r="C9" s="7" t="n"/>
      <c r="D9" s="8" t="inlineStr">
        <is>
          <t>Záporná hotovosť sa zafarbí načerveno s predstihom — konajte včas.</t>
        </is>
      </c>
      <c r="E9" s="7" t="n"/>
    </row>
    <row r="10" ht="26" customHeight="1">
      <c r="A10" s="5" t="inlineStr">
        <is>
          <t>4</t>
        </is>
      </c>
      <c r="B10" s="6" t="inlineStr">
        <is>
          <t>Use the P&amp;L block to see margin trends month by month.</t>
        </is>
      </c>
      <c r="C10" s="7" t="n"/>
      <c r="D10" s="8" t="inlineStr">
        <is>
          <t>Blok ziskov a strát ukáže vývoj marže po mesiacoch.</t>
        </is>
      </c>
      <c r="E10" s="7" t="n"/>
    </row>
    <row r="12" ht="30" customHeight="1">
      <c r="A12" s="9" t="inlineStr">
        <is>
          <t>ℹ  Legal basis: Good practice — management accounts (not a statutory record). Template only — not legal advice; adapt to your premises.
    Právny základ uvedený vyššie. Šablóna — nie je právne poradenstvo; prispôsobte svojej prevádzke.</t>
        </is>
      </c>
    </row>
  </sheetData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 ht="30" customHeight="1">
      <c r="A1" s="1" t="inlineStr">
        <is>
          <t>Cashflow &amp; P&amp;L Tracker  |  Sledovač cash flow a výkazu ziskov a strát</t>
        </is>
      </c>
    </row>
    <row r="2" ht="26" customHeight="1">
      <c r="A2" s="2" t="inlineStr">
        <is>
          <t>12-month rolling cash + monthly profit &amp; loss for an owner-run venue  ·  12-mesačný cash flow a mesačný výkaz ziskov a strát</t>
        </is>
      </c>
    </row>
    <row r="3">
      <c r="A3" s="10" t="inlineStr">
        <is>
          <t>Business name / Názov prevádzky:</t>
        </is>
      </c>
      <c r="B3" s="11" t="inlineStr"/>
    </row>
    <row r="4">
      <c r="A4" s="10" t="inlineStr">
        <is>
          <t>Year (YYYY) / Rok:</t>
        </is>
      </c>
      <c r="B4" s="11" t="inlineStr"/>
    </row>
    <row r="6" ht="30" customHeight="1">
      <c r="A6" s="9" t="inlineStr">
        <is>
          <t>ℹ  Enter actuals in the amber cells. Totals, GP, net profit and closing cash calculate automatically.
    Vyplňte oranžové bunky. Súčty, marža, zisk a koncová hotovosť sa počítajú automaticky.</t>
        </is>
      </c>
    </row>
    <row r="7" ht="22" customHeight="1">
      <c r="A7" s="12" t="inlineStr">
        <is>
          <t>Line / Položka</t>
        </is>
      </c>
      <c r="B7" s="12" t="inlineStr">
        <is>
          <t>Jan</t>
        </is>
      </c>
      <c r="C7" s="12" t="inlineStr">
        <is>
          <t>Feb</t>
        </is>
      </c>
      <c r="D7" s="12" t="inlineStr">
        <is>
          <t>Mar</t>
        </is>
      </c>
      <c r="E7" s="12" t="inlineStr">
        <is>
          <t>Apr</t>
        </is>
      </c>
      <c r="F7" s="12" t="inlineStr">
        <is>
          <t>May</t>
        </is>
      </c>
      <c r="G7" s="12" t="inlineStr">
        <is>
          <t>Jun</t>
        </is>
      </c>
      <c r="H7" s="12" t="inlineStr">
        <is>
          <t>Jul</t>
        </is>
      </c>
      <c r="I7" s="12" t="inlineStr">
        <is>
          <t>Aug</t>
        </is>
      </c>
      <c r="J7" s="12" t="inlineStr">
        <is>
          <t>Sep</t>
        </is>
      </c>
      <c r="K7" s="12" t="inlineStr">
        <is>
          <t>Oct</t>
        </is>
      </c>
      <c r="L7" s="12" t="inlineStr">
        <is>
          <t>Nov</t>
        </is>
      </c>
      <c r="M7" s="12" t="inlineStr">
        <is>
          <t>Dec</t>
        </is>
      </c>
      <c r="N7" s="12" t="inlineStr">
        <is>
          <t>Year / Rok</t>
        </is>
      </c>
    </row>
    <row r="8" ht="18" customHeight="1">
      <c r="A8" s="13" t="inlineStr">
        <is>
          <t>REVENUE / TRŽBY</t>
        </is>
      </c>
    </row>
    <row r="9" ht="16" customHeight="1">
      <c r="A9" s="14" t="inlineStr">
        <is>
          <t>Food sales / Tržby z jedál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6">
        <f>SUM(B9:M9)</f>
        <v/>
      </c>
    </row>
    <row r="10" ht="16" customHeight="1">
      <c r="A10" s="14" t="inlineStr">
        <is>
          <t>Drink sales / Tržby z nápojov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6">
        <f>SUM(B10:M10)</f>
        <v/>
      </c>
    </row>
    <row r="11" ht="16" customHeight="1">
      <c r="A11" s="14" t="inlineStr">
        <is>
          <t>Other income / Ostatné príjmy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6">
        <f>SUM(B11:M11)</f>
        <v/>
      </c>
    </row>
    <row r="12" ht="16" customHeight="1">
      <c r="A12" s="17" t="inlineStr">
        <is>
          <t>Total revenue / Tržby spolu</t>
        </is>
      </c>
      <c r="B12" s="18">
        <f>SUM(B9:B11)</f>
        <v/>
      </c>
      <c r="C12" s="18">
        <f>SUM(C9:C11)</f>
        <v/>
      </c>
      <c r="D12" s="18">
        <f>SUM(D9:D11)</f>
        <v/>
      </c>
      <c r="E12" s="18">
        <f>SUM(E9:E11)</f>
        <v/>
      </c>
      <c r="F12" s="18">
        <f>SUM(F9:F11)</f>
        <v/>
      </c>
      <c r="G12" s="18">
        <f>SUM(G9:G11)</f>
        <v/>
      </c>
      <c r="H12" s="18">
        <f>SUM(H9:H11)</f>
        <v/>
      </c>
      <c r="I12" s="18">
        <f>SUM(I9:I11)</f>
        <v/>
      </c>
      <c r="J12" s="18">
        <f>SUM(J9:J11)</f>
        <v/>
      </c>
      <c r="K12" s="18">
        <f>SUM(K9:K11)</f>
        <v/>
      </c>
      <c r="L12" s="18">
        <f>SUM(L9:L11)</f>
        <v/>
      </c>
      <c r="M12" s="18">
        <f>SUM(M9:M11)</f>
        <v/>
      </c>
      <c r="N12" s="16">
        <f>SUM(B12:M12)</f>
        <v/>
      </c>
    </row>
    <row r="13" ht="18" customHeight="1">
      <c r="A13" s="13" t="inlineStr">
        <is>
          <t>COST OF SALES / NÁKLADY NA PREDAJ</t>
        </is>
      </c>
    </row>
    <row r="14" ht="16" customHeight="1">
      <c r="A14" s="14" t="inlineStr">
        <is>
          <t>Food cost / Náklady na jedlo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6">
        <f>SUM(B14:M14)</f>
        <v/>
      </c>
    </row>
    <row r="15" ht="16" customHeight="1">
      <c r="A15" s="14" t="inlineStr">
        <is>
          <t>Drink cost / Náklady na nápoje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6">
        <f>SUM(B15:M15)</f>
        <v/>
      </c>
    </row>
    <row r="16" ht="16" customHeight="1">
      <c r="A16" s="17" t="inlineStr">
        <is>
          <t>Total cost of sales / Náklady na predaj spolu</t>
        </is>
      </c>
      <c r="B16" s="18">
        <f>SUM(B14:B15)</f>
        <v/>
      </c>
      <c r="C16" s="18">
        <f>SUM(C14:C15)</f>
        <v/>
      </c>
      <c r="D16" s="18">
        <f>SUM(D14:D15)</f>
        <v/>
      </c>
      <c r="E16" s="18">
        <f>SUM(E14:E15)</f>
        <v/>
      </c>
      <c r="F16" s="18">
        <f>SUM(F14:F15)</f>
        <v/>
      </c>
      <c r="G16" s="18">
        <f>SUM(G14:G15)</f>
        <v/>
      </c>
      <c r="H16" s="18">
        <f>SUM(H14:H15)</f>
        <v/>
      </c>
      <c r="I16" s="18">
        <f>SUM(I14:I15)</f>
        <v/>
      </c>
      <c r="J16" s="18">
        <f>SUM(J14:J15)</f>
        <v/>
      </c>
      <c r="K16" s="18">
        <f>SUM(K14:K15)</f>
        <v/>
      </c>
      <c r="L16" s="18">
        <f>SUM(L14:L15)</f>
        <v/>
      </c>
      <c r="M16" s="18">
        <f>SUM(M14:M15)</f>
        <v/>
      </c>
      <c r="N16" s="16">
        <f>SUM(B16:M16)</f>
        <v/>
      </c>
    </row>
    <row r="17" ht="16" customHeight="1">
      <c r="A17" s="17" t="inlineStr">
        <is>
          <t>GROSS PROFIT / HRUBÁ MARŽA</t>
        </is>
      </c>
      <c r="B17" s="18">
        <f>B12-B16</f>
        <v/>
      </c>
      <c r="C17" s="18">
        <f>C12-C16</f>
        <v/>
      </c>
      <c r="D17" s="18">
        <f>D12-D16</f>
        <v/>
      </c>
      <c r="E17" s="18">
        <f>E12-E16</f>
        <v/>
      </c>
      <c r="F17" s="18">
        <f>F12-F16</f>
        <v/>
      </c>
      <c r="G17" s="18">
        <f>G12-G16</f>
        <v/>
      </c>
      <c r="H17" s="18">
        <f>H12-H16</f>
        <v/>
      </c>
      <c r="I17" s="18">
        <f>I12-I16</f>
        <v/>
      </c>
      <c r="J17" s="18">
        <f>J12-J16</f>
        <v/>
      </c>
      <c r="K17" s="18">
        <f>K12-K16</f>
        <v/>
      </c>
      <c r="L17" s="18">
        <f>L12-L16</f>
        <v/>
      </c>
      <c r="M17" s="18">
        <f>M12-M16</f>
        <v/>
      </c>
      <c r="N17" s="16">
        <f>SUM(B17:M17)</f>
        <v/>
      </c>
    </row>
    <row r="18" ht="18" customHeight="1">
      <c r="A18" s="13" t="inlineStr">
        <is>
          <t>OVERHEADS / RÉŽIE</t>
        </is>
      </c>
    </row>
    <row r="19" ht="16" customHeight="1">
      <c r="A19" s="14" t="inlineStr">
        <is>
          <t>Wages &amp; labour / Mzdy a personál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6">
        <f>SUM(B19:M19)</f>
        <v/>
      </c>
    </row>
    <row r="20" ht="16" customHeight="1">
      <c r="A20" s="14" t="inlineStr">
        <is>
          <t>Rent &amp; rates / Nájom a poplatky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6">
        <f>SUM(B20:M20)</f>
        <v/>
      </c>
    </row>
    <row r="21" ht="16" customHeight="1">
      <c r="A21" s="14" t="inlineStr">
        <is>
          <t>Utilities / Energie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6">
        <f>SUM(B21:M21)</f>
        <v/>
      </c>
    </row>
    <row r="22" ht="16" customHeight="1">
      <c r="A22" s="14" t="inlineStr">
        <is>
          <t>Marketing / Marketing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6">
        <f>SUM(B22:M22)</f>
        <v/>
      </c>
    </row>
    <row r="23" ht="16" customHeight="1">
      <c r="A23" s="14" t="inlineStr">
        <is>
          <t>Other overheads / Ostatné réžie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6">
        <f>SUM(B23:M23)</f>
        <v/>
      </c>
    </row>
    <row r="24" ht="16" customHeight="1">
      <c r="A24" s="17" t="inlineStr">
        <is>
          <t>Total overheads / Réžie spolu</t>
        </is>
      </c>
      <c r="B24" s="18">
        <f>SUM(B19:B23)</f>
        <v/>
      </c>
      <c r="C24" s="18">
        <f>SUM(C19:C23)</f>
        <v/>
      </c>
      <c r="D24" s="18">
        <f>SUM(D19:D23)</f>
        <v/>
      </c>
      <c r="E24" s="18">
        <f>SUM(E19:E23)</f>
        <v/>
      </c>
      <c r="F24" s="18">
        <f>SUM(F19:F23)</f>
        <v/>
      </c>
      <c r="G24" s="18">
        <f>SUM(G19:G23)</f>
        <v/>
      </c>
      <c r="H24" s="18">
        <f>SUM(H19:H23)</f>
        <v/>
      </c>
      <c r="I24" s="18">
        <f>SUM(I19:I23)</f>
        <v/>
      </c>
      <c r="J24" s="18">
        <f>SUM(J19:J23)</f>
        <v/>
      </c>
      <c r="K24" s="18">
        <f>SUM(K19:K23)</f>
        <v/>
      </c>
      <c r="L24" s="18">
        <f>SUM(L19:L23)</f>
        <v/>
      </c>
      <c r="M24" s="18">
        <f>SUM(M19:M23)</f>
        <v/>
      </c>
      <c r="N24" s="16">
        <f>SUM(B24:M24)</f>
        <v/>
      </c>
    </row>
    <row r="25" ht="16" customHeight="1">
      <c r="A25" s="17" t="inlineStr">
        <is>
          <t>NET PROFIT / ČISTÝ ZISK</t>
        </is>
      </c>
      <c r="B25" s="18">
        <f>B17-B24</f>
        <v/>
      </c>
      <c r="C25" s="18">
        <f>C17-C24</f>
        <v/>
      </c>
      <c r="D25" s="18">
        <f>D17-D24</f>
        <v/>
      </c>
      <c r="E25" s="18">
        <f>E17-E24</f>
        <v/>
      </c>
      <c r="F25" s="18">
        <f>F17-F24</f>
        <v/>
      </c>
      <c r="G25" s="18">
        <f>G17-G24</f>
        <v/>
      </c>
      <c r="H25" s="18">
        <f>H17-H24</f>
        <v/>
      </c>
      <c r="I25" s="18">
        <f>I17-I24</f>
        <v/>
      </c>
      <c r="J25" s="18">
        <f>J17-J24</f>
        <v/>
      </c>
      <c r="K25" s="18">
        <f>K17-K24</f>
        <v/>
      </c>
      <c r="L25" s="18">
        <f>L17-L24</f>
        <v/>
      </c>
      <c r="M25" s="18">
        <f>M17-M24</f>
        <v/>
      </c>
      <c r="N25" s="16">
        <f>SUM(B25:M25)</f>
        <v/>
      </c>
    </row>
    <row r="26" ht="18" customHeight="1">
      <c r="A26" s="13" t="inlineStr">
        <is>
          <t>CASH POSITION / HOTOVOSŤ</t>
        </is>
      </c>
    </row>
    <row r="27" ht="16" customHeight="1">
      <c r="A27" s="14" t="inlineStr">
        <is>
          <t>Opening cash / Počiatočná hotovosť</t>
        </is>
      </c>
      <c r="B27" s="19" t="n"/>
      <c r="C27" s="18">
        <f>B28</f>
        <v/>
      </c>
      <c r="D27" s="18">
        <f>C28</f>
        <v/>
      </c>
      <c r="E27" s="18">
        <f>D28</f>
        <v/>
      </c>
      <c r="F27" s="18">
        <f>E28</f>
        <v/>
      </c>
      <c r="G27" s="18">
        <f>F28</f>
        <v/>
      </c>
      <c r="H27" s="18">
        <f>G28</f>
        <v/>
      </c>
      <c r="I27" s="18">
        <f>H28</f>
        <v/>
      </c>
      <c r="J27" s="18">
        <f>I28</f>
        <v/>
      </c>
      <c r="K27" s="18">
        <f>J28</f>
        <v/>
      </c>
      <c r="L27" s="18">
        <f>K28</f>
        <v/>
      </c>
      <c r="M27" s="18">
        <f>L28</f>
        <v/>
      </c>
      <c r="N27" s="20">
        <f>B27</f>
        <v/>
      </c>
    </row>
    <row r="28" ht="16" customHeight="1">
      <c r="A28" s="21" t="inlineStr">
        <is>
          <t>Closing cash / Koncová hotovosť</t>
        </is>
      </c>
      <c r="B28" s="16">
        <f>B27+B25</f>
        <v/>
      </c>
      <c r="C28" s="16">
        <f>C27+C25</f>
        <v/>
      </c>
      <c r="D28" s="16">
        <f>D27+D25</f>
        <v/>
      </c>
      <c r="E28" s="16">
        <f>E27+E25</f>
        <v/>
      </c>
      <c r="F28" s="16">
        <f>F27+F25</f>
        <v/>
      </c>
      <c r="G28" s="16">
        <f>G27+G25</f>
        <v/>
      </c>
      <c r="H28" s="16">
        <f>H27+H25</f>
        <v/>
      </c>
      <c r="I28" s="16">
        <f>I27+I25</f>
        <v/>
      </c>
      <c r="J28" s="16">
        <f>J27+J25</f>
        <v/>
      </c>
      <c r="K28" s="16">
        <f>K27+K25</f>
        <v/>
      </c>
      <c r="L28" s="16">
        <f>L27+L25</f>
        <v/>
      </c>
      <c r="M28" s="16">
        <f>M27+M25</f>
        <v/>
      </c>
      <c r="N28" s="20">
        <f>M28</f>
        <v/>
      </c>
    </row>
  </sheetData>
  <mergeCells count="9">
    <mergeCell ref="A18:N18"/>
    <mergeCell ref="A8:N8"/>
    <mergeCell ref="A6:N6"/>
    <mergeCell ref="A26:N26"/>
    <mergeCell ref="B4:N4"/>
    <mergeCell ref="A2:N2"/>
    <mergeCell ref="B3:N3"/>
    <mergeCell ref="A13:N13"/>
    <mergeCell ref="A1:N1"/>
  </mergeCells>
  <conditionalFormatting sqref="B28:M28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Cashflow &amp; P&amp;L Tracker (EN/SK)</dc:title>
  <dcterms:created xsi:type="dcterms:W3CDTF">2026-06-09T19:42:46Z</dcterms:created>
  <dcterms:modified xsi:type="dcterms:W3CDTF">2026-06-09T19:42:46Z</dcterms:modified>
</cp:coreProperties>
</file>