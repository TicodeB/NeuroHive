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ápojov" sheetId="5" state="visible" r:id="rId5"/>
    <sheet name="05 · Sklad a straty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6261F"/>
      <sz val="22"/>
    </font>
    <font>
      <name val="Calibri"/>
      <color rgb="006B7280"/>
      <sz val="11"/>
    </font>
    <font>
      <name val="Calibri"/>
      <b val="1"/>
      <color rgb="001F5C4D"/>
      <sz val="10.5"/>
    </font>
    <font>
      <name val="Calibri"/>
      <color rgb="006B7280"/>
      <sz val="10"/>
    </font>
    <font>
      <name val="Calibri"/>
      <color rgb="0016261F"/>
      <sz val="10"/>
    </font>
    <font>
      <name val="Calibri"/>
      <i val="1"/>
      <color rgb="0016261F"/>
      <sz val="9.5"/>
    </font>
    <font>
      <name val="Calibri"/>
      <i val="1"/>
      <color rgb="009AA3B0"/>
      <sz val="8"/>
    </font>
    <font>
      <name val="Calibri"/>
      <b val="1"/>
      <color rgb="0016261F"/>
      <sz val="10"/>
    </font>
    <font>
      <name val="Calibri"/>
      <b val="1"/>
      <color rgb="001F5C4D"/>
      <sz val="11"/>
    </font>
    <font>
      <name val="Calibri"/>
      <b val="1"/>
      <color rgb="00FFFFFF"/>
      <sz val="10"/>
    </font>
    <font>
      <name val="Calibri"/>
      <color rgb="0016261F"/>
      <sz val="9.5"/>
    </font>
    <font>
      <name val="Calibri"/>
      <b val="1"/>
      <color rgb="006B7280"/>
      <sz val="9.5"/>
    </font>
    <font>
      <name val="Calibri"/>
      <b val="1"/>
      <color rgb="001F5C4D"/>
      <sz val="9.5"/>
    </font>
    <font>
      <name val="Calibri"/>
      <b val="1"/>
      <color rgb="0016261F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1F5C4D"/>
      <sz val="20"/>
    </font>
    <font>
      <name val="Calibri"/>
      <b val="1"/>
      <color rgb="00C9982C"/>
      <sz val="20"/>
    </font>
    <font>
      <name val="Calibri"/>
      <b val="1"/>
      <color rgb="0016261F"/>
      <sz val="20"/>
    </font>
    <font>
      <name val="Calibri"/>
      <color rgb="0016261F"/>
      <sz val="10.5"/>
    </font>
  </fonts>
  <fills count="10">
    <fill>
      <patternFill/>
    </fill>
    <fill>
      <patternFill patternType="gray125"/>
    </fill>
    <fill>
      <patternFill patternType="solid">
        <fgColor rgb="00C9982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1F5C4D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6261F"/>
      </patternFill>
    </fill>
  </fills>
  <borders count="13">
    <border>
      <left/>
      <right/>
      <top/>
      <bottom/>
      <diagonal/>
    </border>
    <border>
      <bottom style="thin">
        <color rgb="001F5C4D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C9982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20" TargetMode="External" Id="rId2" /><Relationship Type="http://schemas.openxmlformats.org/officeDocument/2006/relationships/hyperlink" Target="#'03 &#183; Cash flow'!O28" TargetMode="External" Id="rId3" /><Relationship Type="http://schemas.openxmlformats.org/officeDocument/2006/relationships/hyperlink" Target="#'03 &#183; Cash flow'!N31" TargetMode="External" Id="rId4" /><Relationship Type="http://schemas.openxmlformats.org/officeDocument/2006/relationships/hyperlink" Target="#'04 &#183; Mar&#382;a n&#225;pojov'!H30" TargetMode="External" Id="rId5" /><Relationship Type="http://schemas.openxmlformats.org/officeDocument/2006/relationships/hyperlink" Target="#'05 &#183; Sklad a straty'!I27" TargetMode="External" Id="rId6" /><Relationship Type="http://schemas.openxmlformats.org/officeDocument/2006/relationships/hyperlink" Target="#'06 &#183; Zmeny'!I31" TargetMode="External" Id="rId7" /></Relationships>
</file>

<file path=xl/worksheets/sheet1.xml><?xml version="1.0" encoding="utf-8"?>
<worksheet xmlns="http://schemas.openxmlformats.org/spreadsheetml/2006/main">
  <sheetPr>
    <tabColor rgb="0016261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Bar / pub</t>
        </is>
      </c>
    </row>
    <row r="2" ht="20" customHeight="1">
      <c r="B2" s="2" t="inlineStr">
        <is>
          <t>Balík, ktorý ustráži výčap, straty a maržu nápojov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nápojov</t>
        </is>
      </c>
      <c r="C7" s="7" t="inlineStr">
        <is>
          <t>Náklad na nálev (pour cost) a marža nápoja</t>
        </is>
      </c>
    </row>
    <row r="8" ht="20" customHeight="1">
      <c r="B8" s="6" t="inlineStr">
        <is>
          <t xml:space="preserve">  Sklad a straty</t>
        </is>
      </c>
      <c r="C8" s="7" t="inlineStr">
        <is>
          <t>Spotreba nápojov a hodnota strát (rozliate)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výmena sudov a CO₂</t>
        </is>
      </c>
    </row>
    <row r="15" ht="22" customHeight="1">
      <c r="B15" s="8" t="inlineStr">
        <is>
          <t>•  POČAS DŇA: tržby + rozliate a straty</t>
        </is>
      </c>
    </row>
    <row r="16" ht="22" customHeight="1">
      <c r="B16" s="8" t="inlineStr">
        <is>
          <t>•  VEČER: uzávierka pokladne + inventúra fliaš</t>
        </is>
      </c>
    </row>
    <row r="17" ht="22" customHeight="1">
      <c r="B17" s="8" t="inlineStr">
        <is>
          <t>•  TÝŽDENNE: zmeny + marža nápojov (pour cost)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982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zmeny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chladenia a výčapu</t>
        </is>
      </c>
      <c r="C33" s="21" t="n"/>
      <c r="D33" s="21" t="n"/>
      <c r="E33" s="18" t="n"/>
    </row>
    <row r="34" ht="19" customHeight="1">
      <c r="B34" s="22" t="inlineStr">
        <is>
          <t xml:space="preserve">  Otvorenie: hotovosť v pokladni spočítaná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rozliate a straty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sudy, CO₂ a prevádzka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5C4D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flow'!O20,0)</f>
        <v/>
      </c>
      <c r="H7" s="29" t="n"/>
      <c r="J7" s="32">
        <f>IFERROR('03 · Cash flow'!O28,0)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NÁPOJOV  ↗</t>
        </is>
      </c>
      <c r="H11" s="29" t="n"/>
      <c r="J11" s="28" t="inlineStr">
        <is>
          <t>HODNOTA STRÁT (ROZLIATE)  ↗</t>
        </is>
      </c>
      <c r="L11" s="29" t="n"/>
    </row>
    <row r="12" ht="22" customHeight="1">
      <c r="B12" s="30">
        <f>IFERROR('03 · Cash flow'!N31,0)</f>
        <v/>
      </c>
      <c r="D12" s="29" t="n"/>
      <c r="F12" s="36">
        <f>IFERROR('04 · Marža nápojov'!H30,0)</f>
        <v/>
      </c>
      <c r="H12" s="29" t="n"/>
      <c r="J12" s="32">
        <f>IFERROR('05 · Sklad a straty'!I27,0)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flow'!O28/'03 · Cash flow'!O14,"0.0%")&amp;IF('03 · Cash flow'!O28/'03 · Cash flow'!O14&gt;=0.1,"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straty'!I27,"#,##0.00 €")&amp;".","Straty: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nápojov'!H31,"0")&amp;".","Marža: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5C4D"/>
    <outlinePr summaryBelow="1" summaryRight="1"/>
    <pageSetUpPr/>
  </sheetPr>
  <dimension ref="A1:R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čapované (pivo, cider)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destiláty a koktaily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víno a nealko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kuchyňa / snacky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Nákup piva a sudov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Nákup destilátov, vína a nealka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20" t="inlineStr">
        <is>
          <t>Náklady kuchyňa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2">
        <f>SUM(C18:N18)</f>
        <v/>
      </c>
      <c r="P18" s="41" t="n"/>
      <c r="Q18" s="43">
        <f>IF(OR(O18="",P18=""),"",O18-P18)</f>
        <v/>
      </c>
      <c r="R18" s="44">
        <f>IF(OR(P18="",P18=0,O18=""),"",(O18-P18)/P18)</f>
        <v/>
      </c>
    </row>
    <row r="19" ht="16" customHeight="1">
      <c r="B19" s="45" t="inlineStr">
        <is>
          <t>Náklady spolu</t>
        </is>
      </c>
      <c r="C19" s="43">
        <f>SUM(C16:C18)</f>
        <v/>
      </c>
      <c r="D19" s="43">
        <f>SUM(D16:D18)</f>
        <v/>
      </c>
      <c r="E19" s="43">
        <f>SUM(E16:E18)</f>
        <v/>
      </c>
      <c r="F19" s="43">
        <f>SUM(F16:F18)</f>
        <v/>
      </c>
      <c r="G19" s="43">
        <f>SUM(G16:G18)</f>
        <v/>
      </c>
      <c r="H19" s="43">
        <f>SUM(H16:H18)</f>
        <v/>
      </c>
      <c r="I19" s="43">
        <f>SUM(I16:I18)</f>
        <v/>
      </c>
      <c r="J19" s="43">
        <f>SUM(J16:J18)</f>
        <v/>
      </c>
      <c r="K19" s="43">
        <f>SUM(K16:K18)</f>
        <v/>
      </c>
      <c r="L19" s="43">
        <f>SUM(L16:L18)</f>
        <v/>
      </c>
      <c r="M19" s="43">
        <f>SUM(M16:M18)</f>
        <v/>
      </c>
      <c r="N19" s="43">
        <f>SUM(N16:N18)</f>
        <v/>
      </c>
      <c r="O19" s="42">
        <f>SUM(C19:N19)</f>
        <v/>
      </c>
      <c r="P19" s="42">
        <f>SUM(P16:P18)</f>
        <v/>
      </c>
      <c r="Q19" s="42">
        <f>IF(OR(O19="",P19=""),"",O19-P19)</f>
        <v/>
      </c>
      <c r="R19" s="46">
        <f>IF(OR(P19="",P19=0,O19=""),"",(O19-P19)/P19)</f>
        <v/>
      </c>
    </row>
    <row r="20" ht="16" customHeight="1">
      <c r="B20" s="45" t="inlineStr">
        <is>
          <t>HRUBÁ MARŽA</t>
        </is>
      </c>
      <c r="C20" s="43">
        <f>C14-C19</f>
        <v/>
      </c>
      <c r="D20" s="43">
        <f>D14-D19</f>
        <v/>
      </c>
      <c r="E20" s="43">
        <f>E14-E19</f>
        <v/>
      </c>
      <c r="F20" s="43">
        <f>F14-F19</f>
        <v/>
      </c>
      <c r="G20" s="43">
        <f>G14-G19</f>
        <v/>
      </c>
      <c r="H20" s="43">
        <f>H14-H19</f>
        <v/>
      </c>
      <c r="I20" s="43">
        <f>I14-I19</f>
        <v/>
      </c>
      <c r="J20" s="43">
        <f>J14-J19</f>
        <v/>
      </c>
      <c r="K20" s="43">
        <f>K14-K19</f>
        <v/>
      </c>
      <c r="L20" s="43">
        <f>L14-L19</f>
        <v/>
      </c>
      <c r="M20" s="43">
        <f>M14-M19</f>
        <v/>
      </c>
      <c r="N20" s="43">
        <f>N14-N19</f>
        <v/>
      </c>
      <c r="O20" s="42">
        <f>SUM(C20:N20)</f>
        <v/>
      </c>
      <c r="P20" s="42">
        <f>P14-P19</f>
        <v/>
      </c>
      <c r="Q20" s="42">
        <f>IF(OR(O20="",P20=""),"",O20-P20)</f>
        <v/>
      </c>
      <c r="R20" s="46">
        <f>IF(OR(P20="",P20=0,O20=""),"",(O20-P20)/P20)</f>
        <v/>
      </c>
    </row>
    <row r="21" ht="18" customHeight="1">
      <c r="B21" s="40" t="inlineStr">
        <is>
          <t>RÉŽIE</t>
        </is>
      </c>
    </row>
    <row r="22" ht="16" customHeight="1">
      <c r="B22" s="20" t="inlineStr">
        <is>
          <t>Mzdy a personál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Nájom a poplatky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Energie a chladenie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Licencie (hudba/TV/športy)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20" t="inlineStr">
        <is>
          <t>Ostatné réžie</t>
        </is>
      </c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>
        <f>SUM(C26:N26)</f>
        <v/>
      </c>
      <c r="P26" s="41" t="n"/>
      <c r="Q26" s="43">
        <f>IF(OR(O26="",P26=""),"",O26-P26)</f>
        <v/>
      </c>
      <c r="R26" s="44">
        <f>IF(OR(P26="",P26=0,O26=""),"",(O26-P26)/P26)</f>
        <v/>
      </c>
    </row>
    <row r="27" ht="16" customHeight="1">
      <c r="B27" s="45" t="inlineStr">
        <is>
          <t>Réžie spolu</t>
        </is>
      </c>
      <c r="C27" s="43">
        <f>SUM(C22:C26)</f>
        <v/>
      </c>
      <c r="D27" s="43">
        <f>SUM(D22:D26)</f>
        <v/>
      </c>
      <c r="E27" s="43">
        <f>SUM(E22:E26)</f>
        <v/>
      </c>
      <c r="F27" s="43">
        <f>SUM(F22:F26)</f>
        <v/>
      </c>
      <c r="G27" s="43">
        <f>SUM(G22:G26)</f>
        <v/>
      </c>
      <c r="H27" s="43">
        <f>SUM(H22:H26)</f>
        <v/>
      </c>
      <c r="I27" s="43">
        <f>SUM(I22:I26)</f>
        <v/>
      </c>
      <c r="J27" s="43">
        <f>SUM(J22:J26)</f>
        <v/>
      </c>
      <c r="K27" s="43">
        <f>SUM(K22:K26)</f>
        <v/>
      </c>
      <c r="L27" s="43">
        <f>SUM(L22:L26)</f>
        <v/>
      </c>
      <c r="M27" s="43">
        <f>SUM(M22:M26)</f>
        <v/>
      </c>
      <c r="N27" s="43">
        <f>SUM(N22:N26)</f>
        <v/>
      </c>
      <c r="O27" s="42">
        <f>SUM(C27:N27)</f>
        <v/>
      </c>
      <c r="P27" s="42">
        <f>SUM(P22:P26)</f>
        <v/>
      </c>
      <c r="Q27" s="42">
        <f>IF(OR(O27="",P27=""),"",O27-P27)</f>
        <v/>
      </c>
      <c r="R27" s="46">
        <f>IF(OR(P27="",P27=0,O27=""),"",(O27-P27)/P27)</f>
        <v/>
      </c>
    </row>
    <row r="28" ht="16" customHeight="1">
      <c r="B28" s="45" t="inlineStr">
        <is>
          <t>ČISTÝ ZISK</t>
        </is>
      </c>
      <c r="C28" s="43">
        <f>C20-C27</f>
        <v/>
      </c>
      <c r="D28" s="43">
        <f>D20-D27</f>
        <v/>
      </c>
      <c r="E28" s="43">
        <f>E20-E27</f>
        <v/>
      </c>
      <c r="F28" s="43">
        <f>F20-F27</f>
        <v/>
      </c>
      <c r="G28" s="43">
        <f>G20-G27</f>
        <v/>
      </c>
      <c r="H28" s="43">
        <f>H20-H27</f>
        <v/>
      </c>
      <c r="I28" s="43">
        <f>I20-I27</f>
        <v/>
      </c>
      <c r="J28" s="43">
        <f>J20-J27</f>
        <v/>
      </c>
      <c r="K28" s="43">
        <f>K20-K27</f>
        <v/>
      </c>
      <c r="L28" s="43">
        <f>L20-L27</f>
        <v/>
      </c>
      <c r="M28" s="43">
        <f>M20-M27</f>
        <v/>
      </c>
      <c r="N28" s="43">
        <f>N20-N27</f>
        <v/>
      </c>
      <c r="O28" s="42">
        <f>SUM(C28:N28)</f>
        <v/>
      </c>
      <c r="P28" s="42">
        <f>P20-P27</f>
        <v/>
      </c>
      <c r="Q28" s="42">
        <f>IF(OR(O28="",P28=""),"",O28-P28)</f>
        <v/>
      </c>
      <c r="R28" s="46">
        <f>IF(OR(P28="",P28=0,O28=""),"",(O28-P28)/P28)</f>
        <v/>
      </c>
    </row>
    <row r="29" ht="18" customHeight="1">
      <c r="B29" s="40" t="inlineStr">
        <is>
          <t>HOTOVOSŤ</t>
        </is>
      </c>
    </row>
    <row r="30">
      <c r="B30" s="20" t="inlineStr">
        <is>
          <t>Počiatočná hotovosť</t>
        </is>
      </c>
      <c r="C30" s="41" t="n"/>
      <c r="D30" s="43">
        <f>C31</f>
        <v/>
      </c>
      <c r="E30" s="43">
        <f>D31</f>
        <v/>
      </c>
      <c r="F30" s="43">
        <f>E31</f>
        <v/>
      </c>
      <c r="G30" s="43">
        <f>F31</f>
        <v/>
      </c>
      <c r="H30" s="43">
        <f>G31</f>
        <v/>
      </c>
      <c r="I30" s="43">
        <f>H31</f>
        <v/>
      </c>
      <c r="J30" s="43">
        <f>I31</f>
        <v/>
      </c>
      <c r="K30" s="43">
        <f>J31</f>
        <v/>
      </c>
      <c r="L30" s="43">
        <f>K31</f>
        <v/>
      </c>
      <c r="M30" s="43">
        <f>L31</f>
        <v/>
      </c>
      <c r="N30" s="43">
        <f>M31</f>
        <v/>
      </c>
      <c r="O30" s="43">
        <f>C30</f>
        <v/>
      </c>
    </row>
    <row r="31">
      <c r="B31" s="45" t="inlineStr">
        <is>
          <t>Koncová hotovosť</t>
        </is>
      </c>
      <c r="C31" s="42">
        <f>C30+C28</f>
        <v/>
      </c>
      <c r="D31" s="42">
        <f>D30+D28</f>
        <v/>
      </c>
      <c r="E31" s="42">
        <f>E30+E28</f>
        <v/>
      </c>
      <c r="F31" s="42">
        <f>F30+F28</f>
        <v/>
      </c>
      <c r="G31" s="42">
        <f>G30+G28</f>
        <v/>
      </c>
      <c r="H31" s="42">
        <f>H30+H28</f>
        <v/>
      </c>
      <c r="I31" s="42">
        <f>I30+I28</f>
        <v/>
      </c>
      <c r="J31" s="42">
        <f>J30+J28</f>
        <v/>
      </c>
      <c r="K31" s="42">
        <f>K30+K28</f>
        <v/>
      </c>
      <c r="L31" s="42">
        <f>L30+L28</f>
        <v/>
      </c>
      <c r="M31" s="42">
        <f>M30+M28</f>
        <v/>
      </c>
      <c r="N31" s="42">
        <f>N30+N28</f>
        <v/>
      </c>
      <c r="O31" s="42">
        <f>N31</f>
        <v/>
      </c>
    </row>
  </sheetData>
  <mergeCells count="8">
    <mergeCell ref="B9:R9"/>
    <mergeCell ref="C5:E5"/>
    <mergeCell ref="B21:R21"/>
    <mergeCell ref="B15:R15"/>
    <mergeCell ref="B7:R7"/>
    <mergeCell ref="B29:R29"/>
    <mergeCell ref="B2:R2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20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8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1:N31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982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nápojov</t>
        </is>
      </c>
    </row>
    <row r="2" ht="20" customHeight="1">
      <c r="B2" s="2" t="inlineStr">
        <is>
          <t>Náklad na nálev (pour cost) a marža nápoja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Nápoj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Čapované pivo 0,5 l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Pohár vína 0,2 l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Panák destilátu 0,04 l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Miešaný nápoj (koktail)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Nealko 0,3 l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5C4D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straty</t>
        </is>
      </c>
    </row>
    <row r="2" ht="20" customHeight="1">
      <c r="B2" s="2" t="inlineStr">
        <is>
          <t>Spotreba nápojov a hodnota strát (rozliate)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Straty (množ.)</t>
        </is>
      </c>
      <c r="H8" s="15" t="inlineStr">
        <is>
          <t>Cena/jedn. €</t>
        </is>
      </c>
      <c r="I8" s="15" t="inlineStr">
        <is>
          <t>Hodnota — straty €</t>
        </is>
      </c>
    </row>
    <row r="9" ht="19" customHeight="1">
      <c r="B9" s="47" t="inlineStr">
        <is>
          <t>Sud piva 50 l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Fľaškové pivo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Vodka 0,7 l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Víno (fľaša)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Nealko (prepravka)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Straty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982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(barman / čašník)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5C4D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sprepitné.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261F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.2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45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Zodpovedný výčap alkoholu</t>
        </is>
      </c>
      <c r="F7" s="15" t="inlineStr">
        <is>
          <t>Hygiena potravín</t>
        </is>
      </c>
      <c r="G7" s="15" t="inlineStr">
        <is>
          <t>Alergény</t>
        </is>
      </c>
      <c r="H7" s="15" t="inlineStr">
        <is>
          <t>Manipulácia s bremenami (sudy)</t>
        </is>
      </c>
      <c r="I7" s="15" t="inlineStr">
        <is>
          <t>Požiarna ochrana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Bar / pub (SK)</dc:title>
  <dcterms:created xsi:type="dcterms:W3CDTF">2026-05-31T12:08:07Z</dcterms:created>
  <dcterms:modified xsi:type="dcterms:W3CDTF">2026-05-31T12:08:07Z</dcterms:modified>
</cp:coreProperties>
</file>