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ápojov" sheetId="5" state="visible" r:id="rId5"/>
    <sheet name="05 · Sklad a straty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16261F"/>
      <sz val="22"/>
    </font>
    <font>
      <name val="Calibri"/>
      <color rgb="006B7280"/>
      <sz val="11"/>
    </font>
    <font>
      <name val="Calibri"/>
      <b val="1"/>
      <color rgb="001F5C4D"/>
      <sz val="10.5"/>
    </font>
    <font>
      <name val="Calibri"/>
      <color rgb="006B7280"/>
      <sz val="10"/>
    </font>
    <font>
      <name val="Calibri"/>
      <color rgb="0016261F"/>
      <sz val="10"/>
    </font>
    <font>
      <name val="Calibri"/>
      <i val="1"/>
      <color rgb="0016261F"/>
      <sz val="9.5"/>
    </font>
    <font>
      <name val="Calibri"/>
      <i val="1"/>
      <color rgb="009AA3B0"/>
      <sz val="8"/>
    </font>
    <font>
      <name val="Calibri"/>
      <b val="1"/>
      <color rgb="0016261F"/>
      <sz val="10"/>
    </font>
    <font>
      <name val="Calibri"/>
      <b val="1"/>
      <color rgb="001F5C4D"/>
      <sz val="11"/>
    </font>
    <font>
      <name val="Calibri"/>
      <b val="1"/>
      <color rgb="00FFFFFF"/>
      <sz val="10"/>
    </font>
    <font>
      <name val="Calibri"/>
      <color rgb="0016261F"/>
      <sz val="9.5"/>
    </font>
    <font>
      <name val="Calibri"/>
      <b val="1"/>
      <color rgb="006B7280"/>
      <sz val="9.5"/>
    </font>
    <font>
      <name val="Calibri"/>
      <b val="1"/>
      <color rgb="001F5C4D"/>
      <sz val="9.5"/>
    </font>
    <font>
      <name val="Calibri"/>
      <b val="1"/>
      <color rgb="0016261F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1F5C4D"/>
      <sz val="20"/>
    </font>
    <font>
      <name val="Calibri"/>
      <b val="1"/>
      <color rgb="00C9982C"/>
      <sz val="20"/>
    </font>
    <font>
      <name val="Calibri"/>
      <b val="1"/>
      <color rgb="0016261F"/>
      <sz val="20"/>
    </font>
    <font>
      <name val="Calibri"/>
      <color rgb="0016261F"/>
      <sz val="10.5"/>
    </font>
  </fonts>
  <fills count="10">
    <fill>
      <patternFill/>
    </fill>
    <fill>
      <patternFill patternType="gray125"/>
    </fill>
    <fill>
      <patternFill patternType="solid">
        <fgColor rgb="00C9982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1F5C4D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16261F"/>
      </patternFill>
    </fill>
  </fills>
  <borders count="13">
    <border>
      <left/>
      <right/>
      <top/>
      <bottom/>
      <diagonal/>
    </border>
    <border>
      <bottom style="thin">
        <color rgb="001F5C4D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C9982C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5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166" fontId="14" fillId="3" borderId="4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61F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Bar / pub</t>
        </is>
      </c>
    </row>
    <row r="2" ht="20" customHeight="1">
      <c r="B2" s="2" t="inlineStr">
        <is>
          <t>Balík, ktorý ustráži výčap, straty a maržu nápojov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nápojov</t>
        </is>
      </c>
      <c r="C7" s="7" t="inlineStr">
        <is>
          <t>Náklad na nálev (pour cost) a marža nápoja</t>
        </is>
      </c>
    </row>
    <row r="8" ht="20" customHeight="1">
      <c r="B8" s="6" t="inlineStr">
        <is>
          <t xml:space="preserve">  Sklad a straty</t>
        </is>
      </c>
      <c r="C8" s="7" t="inlineStr">
        <is>
          <t>Spotreba nápojov a hodnota strát (rozliate)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výmena sudov a CO₂</t>
        </is>
      </c>
    </row>
    <row r="15" ht="22" customHeight="1">
      <c r="B15" s="8" t="inlineStr">
        <is>
          <t>•  POČAS DŇA: tržby + rozliate a straty</t>
        </is>
      </c>
    </row>
    <row r="16" ht="22" customHeight="1">
      <c r="B16" s="8" t="inlineStr">
        <is>
          <t>•  VEČER: uzávierka pokladne + inventúra fliaš</t>
        </is>
      </c>
    </row>
    <row r="17" ht="22" customHeight="1">
      <c r="B17" s="8" t="inlineStr">
        <is>
          <t>•  TÝŽDENNE: zmeny + marža nápojov (pour cost)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982C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zmeny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teploty chladenia a výčapu</t>
        </is>
      </c>
      <c r="C33" s="21" t="n"/>
      <c r="D33" s="21" t="n"/>
      <c r="E33" s="18" t="n"/>
    </row>
    <row r="34" ht="19" customHeight="1">
      <c r="B34" s="22" t="inlineStr">
        <is>
          <t xml:space="preserve">  Otvorenie: hotovosť v pokladni spočítaná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rozliate a straty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sudy, CO₂ a prevádzka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5C4D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</t>
        </is>
      </c>
      <c r="H6" s="29" t="n"/>
      <c r="J6" s="28" t="inlineStr">
        <is>
          <t>ČISTÝ ZISK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flow'!O20,0)</f>
        <v/>
      </c>
      <c r="H7" s="29" t="n"/>
      <c r="J7" s="32">
        <f>IFERROR('03 · Cash flow'!O28,0)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 NÁPOJOV</t>
        </is>
      </c>
      <c r="H11" s="29" t="n"/>
      <c r="J11" s="28" t="inlineStr">
        <is>
          <t>HODNOTA STRÁT (ROZLIATE)</t>
        </is>
      </c>
      <c r="L11" s="29" t="n"/>
    </row>
    <row r="12" ht="22" customHeight="1">
      <c r="B12" s="30">
        <f>IFERROR('03 · Cash flow'!N31,0)</f>
        <v/>
      </c>
      <c r="D12" s="29" t="n"/>
      <c r="F12" s="36">
        <f>IFERROR('04 · Marža nápojov'!H30,0)</f>
        <v/>
      </c>
      <c r="H12" s="29" t="n"/>
      <c r="J12" s="32">
        <f>IFERROR('05 · Sklad a straty'!I27,0)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IFERROR("Čistá marža: "&amp;TEXT('03 · Cash flow'!O28/'03 · Cash flow'!O14,"0.0%")&amp;IF('03 · Cash flow'!O28/'03 · Cash flow'!O14&gt;=0.1," — zdravé."," — pozor, je nízka."),"Čistá marža: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IFERROR("Podiel miezd: "&amp;TEXT('06 · Zmeny'!I31,"0.0%")&amp;IF('06 · Zmeny'!I31&gt;0.35," — NAD cieľom 35 %."," — v poriadku."),"Podiel miezd: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IFERROR("Hodnota strát/odpisu: "&amp;TEXT('05 · Sklad a straty'!I27,"#,##0.00 €")&amp;".","Straty: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nápojov'!H31,"0")&amp;".","Marža: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"&amp;TEXT('07 · Tržby'!H40,"#,##0.00 €")&amp;IF(ABS('07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5C4D"/>
    <outlinePr summaryBelow="1" summaryRight="1"/>
    <pageSetUpPr/>
  </sheetPr>
  <dimension ref="A1:O31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čapované (pivo, cider)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destiláty a koktaily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Tržby víno a nealko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20" t="inlineStr">
        <is>
          <t>Tržby kuchyňa / snacky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</row>
    <row r="14" ht="16" customHeight="1">
      <c r="B14" s="43" t="inlineStr">
        <is>
          <t>Tržby spolu</t>
        </is>
      </c>
      <c r="C14" s="44">
        <f>SUM(C10:C13)</f>
        <v/>
      </c>
      <c r="D14" s="44">
        <f>SUM(D10:D13)</f>
        <v/>
      </c>
      <c r="E14" s="44">
        <f>SUM(E10:E13)</f>
        <v/>
      </c>
      <c r="F14" s="44">
        <f>SUM(F10:F13)</f>
        <v/>
      </c>
      <c r="G14" s="44">
        <f>SUM(G10:G13)</f>
        <v/>
      </c>
      <c r="H14" s="44">
        <f>SUM(H10:H13)</f>
        <v/>
      </c>
      <c r="I14" s="44">
        <f>SUM(I10:I13)</f>
        <v/>
      </c>
      <c r="J14" s="44">
        <f>SUM(J10:J13)</f>
        <v/>
      </c>
      <c r="K14" s="44">
        <f>SUM(K10:K13)</f>
        <v/>
      </c>
      <c r="L14" s="44">
        <f>SUM(L10:L13)</f>
        <v/>
      </c>
      <c r="M14" s="44">
        <f>SUM(M10:M13)</f>
        <v/>
      </c>
      <c r="N14" s="44">
        <f>SUM(N10:N13)</f>
        <v/>
      </c>
      <c r="O14" s="42">
        <f>SUM(C14:N14)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Nákup piva a sudov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20" t="inlineStr">
        <is>
          <t>Nákup destilátov, vína a nealka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</row>
    <row r="18" ht="16" customHeight="1">
      <c r="B18" s="20" t="inlineStr">
        <is>
          <t>Náklady kuchyňa</t>
        </is>
      </c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2">
        <f>SUM(C18:N18)</f>
        <v/>
      </c>
    </row>
    <row r="19" ht="16" customHeight="1">
      <c r="B19" s="43" t="inlineStr">
        <is>
          <t>Náklady spolu</t>
        </is>
      </c>
      <c r="C19" s="44">
        <f>SUM(C16:C18)</f>
        <v/>
      </c>
      <c r="D19" s="44">
        <f>SUM(D16:D18)</f>
        <v/>
      </c>
      <c r="E19" s="44">
        <f>SUM(E16:E18)</f>
        <v/>
      </c>
      <c r="F19" s="44">
        <f>SUM(F16:F18)</f>
        <v/>
      </c>
      <c r="G19" s="44">
        <f>SUM(G16:G18)</f>
        <v/>
      </c>
      <c r="H19" s="44">
        <f>SUM(H16:H18)</f>
        <v/>
      </c>
      <c r="I19" s="44">
        <f>SUM(I16:I18)</f>
        <v/>
      </c>
      <c r="J19" s="44">
        <f>SUM(J16:J18)</f>
        <v/>
      </c>
      <c r="K19" s="44">
        <f>SUM(K16:K18)</f>
        <v/>
      </c>
      <c r="L19" s="44">
        <f>SUM(L16:L18)</f>
        <v/>
      </c>
      <c r="M19" s="44">
        <f>SUM(M16:M18)</f>
        <v/>
      </c>
      <c r="N19" s="44">
        <f>SUM(N16:N18)</f>
        <v/>
      </c>
      <c r="O19" s="42">
        <f>SUM(C19:N19)</f>
        <v/>
      </c>
    </row>
    <row r="20" ht="16" customHeight="1">
      <c r="B20" s="43" t="inlineStr">
        <is>
          <t>HRUBÁ MARŽA</t>
        </is>
      </c>
      <c r="C20" s="44">
        <f>C14-C19</f>
        <v/>
      </c>
      <c r="D20" s="44">
        <f>D14-D19</f>
        <v/>
      </c>
      <c r="E20" s="44">
        <f>E14-E19</f>
        <v/>
      </c>
      <c r="F20" s="44">
        <f>F14-F19</f>
        <v/>
      </c>
      <c r="G20" s="44">
        <f>G14-G19</f>
        <v/>
      </c>
      <c r="H20" s="44">
        <f>H14-H19</f>
        <v/>
      </c>
      <c r="I20" s="44">
        <f>I14-I19</f>
        <v/>
      </c>
      <c r="J20" s="44">
        <f>J14-J19</f>
        <v/>
      </c>
      <c r="K20" s="44">
        <f>K14-K19</f>
        <v/>
      </c>
      <c r="L20" s="44">
        <f>L14-L19</f>
        <v/>
      </c>
      <c r="M20" s="44">
        <f>M14-M19</f>
        <v/>
      </c>
      <c r="N20" s="44">
        <f>N14-N19</f>
        <v/>
      </c>
      <c r="O20" s="42">
        <f>SUM(C20:N20)</f>
        <v/>
      </c>
    </row>
    <row r="21" ht="18" customHeight="1">
      <c r="B21" s="40" t="inlineStr">
        <is>
          <t>RÉŽIE</t>
        </is>
      </c>
    </row>
    <row r="22" ht="16" customHeight="1">
      <c r="B22" s="20" t="inlineStr">
        <is>
          <t>Mzdy a personál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Nájom a poplatky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Energie a chladenie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20" t="inlineStr">
        <is>
          <t>Licencie (hudba/TV/športy)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</row>
    <row r="26" ht="16" customHeight="1">
      <c r="B26" s="20" t="inlineStr">
        <is>
          <t>Ostatné réžie</t>
        </is>
      </c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41" t="n"/>
      <c r="M26" s="41" t="n"/>
      <c r="N26" s="41" t="n"/>
      <c r="O26" s="42">
        <f>SUM(C26:N26)</f>
        <v/>
      </c>
    </row>
    <row r="27" ht="16" customHeight="1">
      <c r="B27" s="43" t="inlineStr">
        <is>
          <t>Réžie spolu</t>
        </is>
      </c>
      <c r="C27" s="44">
        <f>SUM(C22:C26)</f>
        <v/>
      </c>
      <c r="D27" s="44">
        <f>SUM(D22:D26)</f>
        <v/>
      </c>
      <c r="E27" s="44">
        <f>SUM(E22:E26)</f>
        <v/>
      </c>
      <c r="F27" s="44">
        <f>SUM(F22:F26)</f>
        <v/>
      </c>
      <c r="G27" s="44">
        <f>SUM(G22:G26)</f>
        <v/>
      </c>
      <c r="H27" s="44">
        <f>SUM(H22:H26)</f>
        <v/>
      </c>
      <c r="I27" s="44">
        <f>SUM(I22:I26)</f>
        <v/>
      </c>
      <c r="J27" s="44">
        <f>SUM(J22:J26)</f>
        <v/>
      </c>
      <c r="K27" s="44">
        <f>SUM(K22:K26)</f>
        <v/>
      </c>
      <c r="L27" s="44">
        <f>SUM(L22:L26)</f>
        <v/>
      </c>
      <c r="M27" s="44">
        <f>SUM(M22:M26)</f>
        <v/>
      </c>
      <c r="N27" s="44">
        <f>SUM(N22:N26)</f>
        <v/>
      </c>
      <c r="O27" s="42">
        <f>SUM(C27:N27)</f>
        <v/>
      </c>
    </row>
    <row r="28" ht="16" customHeight="1">
      <c r="B28" s="43" t="inlineStr">
        <is>
          <t>ČISTÝ ZISK</t>
        </is>
      </c>
      <c r="C28" s="44">
        <f>C20-C27</f>
        <v/>
      </c>
      <c r="D28" s="44">
        <f>D20-D27</f>
        <v/>
      </c>
      <c r="E28" s="44">
        <f>E20-E27</f>
        <v/>
      </c>
      <c r="F28" s="44">
        <f>F20-F27</f>
        <v/>
      </c>
      <c r="G28" s="44">
        <f>G20-G27</f>
        <v/>
      </c>
      <c r="H28" s="44">
        <f>H20-H27</f>
        <v/>
      </c>
      <c r="I28" s="44">
        <f>I20-I27</f>
        <v/>
      </c>
      <c r="J28" s="44">
        <f>J20-J27</f>
        <v/>
      </c>
      <c r="K28" s="44">
        <f>K20-K27</f>
        <v/>
      </c>
      <c r="L28" s="44">
        <f>L20-L27</f>
        <v/>
      </c>
      <c r="M28" s="44">
        <f>M20-M27</f>
        <v/>
      </c>
      <c r="N28" s="44">
        <f>N20-N27</f>
        <v/>
      </c>
      <c r="O28" s="42">
        <f>SUM(C28:N28)</f>
        <v/>
      </c>
    </row>
    <row r="29" ht="18" customHeight="1">
      <c r="B29" s="40" t="inlineStr">
        <is>
          <t>HOTOVOSŤ</t>
        </is>
      </c>
    </row>
    <row r="30">
      <c r="B30" s="20" t="inlineStr">
        <is>
          <t>Počiatočná hotovosť</t>
        </is>
      </c>
      <c r="C30" s="41" t="n"/>
      <c r="D30" s="44">
        <f>C31</f>
        <v/>
      </c>
      <c r="E30" s="44">
        <f>D31</f>
        <v/>
      </c>
      <c r="F30" s="44">
        <f>E31</f>
        <v/>
      </c>
      <c r="G30" s="44">
        <f>F31</f>
        <v/>
      </c>
      <c r="H30" s="44">
        <f>G31</f>
        <v/>
      </c>
      <c r="I30" s="44">
        <f>H31</f>
        <v/>
      </c>
      <c r="J30" s="44">
        <f>I31</f>
        <v/>
      </c>
      <c r="K30" s="44">
        <f>J31</f>
        <v/>
      </c>
      <c r="L30" s="44">
        <f>K31</f>
        <v/>
      </c>
      <c r="M30" s="44">
        <f>L31</f>
        <v/>
      </c>
      <c r="N30" s="44">
        <f>M31</f>
        <v/>
      </c>
      <c r="O30" s="44">
        <f>C30</f>
        <v/>
      </c>
    </row>
    <row r="31">
      <c r="B31" s="43" t="inlineStr">
        <is>
          <t>Koncová hotovosť</t>
        </is>
      </c>
      <c r="C31" s="42">
        <f>C30+C28</f>
        <v/>
      </c>
      <c r="D31" s="42">
        <f>D30+D28</f>
        <v/>
      </c>
      <c r="E31" s="42">
        <f>E30+E28</f>
        <v/>
      </c>
      <c r="F31" s="42">
        <f>F30+F28</f>
        <v/>
      </c>
      <c r="G31" s="42">
        <f>G30+G28</f>
        <v/>
      </c>
      <c r="H31" s="42">
        <f>H30+H28</f>
        <v/>
      </c>
      <c r="I31" s="42">
        <f>I30+I28</f>
        <v/>
      </c>
      <c r="J31" s="42">
        <f>J30+J28</f>
        <v/>
      </c>
      <c r="K31" s="42">
        <f>K30+K28</f>
        <v/>
      </c>
      <c r="L31" s="42">
        <f>L30+L28</f>
        <v/>
      </c>
      <c r="M31" s="42">
        <f>M30+M28</f>
        <v/>
      </c>
      <c r="N31" s="42">
        <f>N30+N28</f>
        <v/>
      </c>
      <c r="O31" s="42">
        <f>N31</f>
        <v/>
      </c>
    </row>
  </sheetData>
  <mergeCells count="8">
    <mergeCell ref="B9:O9"/>
    <mergeCell ref="B1:O1"/>
    <mergeCell ref="B21:O21"/>
    <mergeCell ref="C5:E5"/>
    <mergeCell ref="B2:O2"/>
    <mergeCell ref="B15:O15"/>
    <mergeCell ref="B7:O7"/>
    <mergeCell ref="B29:O29"/>
  </mergeCells>
  <conditionalFormatting sqref="C31:N31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982C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nápojov</t>
        </is>
      </c>
    </row>
    <row r="2" ht="20" customHeight="1">
      <c r="B2" s="2" t="inlineStr">
        <is>
          <t>Náklad na nálev (pour cost) a marža nápoja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Nápoj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Čapované pivo 0,5 l</t>
        </is>
      </c>
      <c r="C8" s="46" t="n"/>
      <c r="D8" s="47" t="n"/>
      <c r="E8" s="48" t="n"/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Pohár vína 0,2 l</t>
        </is>
      </c>
      <c r="C9" s="53" t="n"/>
      <c r="D9" s="47" t="n"/>
      <c r="E9" s="48" t="n"/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Panák destilátu 0,04 l</t>
        </is>
      </c>
      <c r="C10" s="46" t="n"/>
      <c r="D10" s="47" t="n"/>
      <c r="E10" s="48" t="n"/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Miešaný nápoj (koktail)</t>
        </is>
      </c>
      <c r="C11" s="53" t="n"/>
      <c r="D11" s="47" t="n"/>
      <c r="E11" s="48" t="n"/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Nealko 0,3 l</t>
        </is>
      </c>
      <c r="C12" s="46" t="n"/>
      <c r="D12" s="47" t="n"/>
      <c r="E12" s="48" t="n"/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n"/>
      <c r="C13" s="53" t="n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n"/>
      <c r="C14" s="46" t="n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n"/>
      <c r="C15" s="53" t="n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n"/>
      <c r="C16" s="46" t="n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n"/>
      <c r="C17" s="53" t="n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n"/>
      <c r="C18" s="46" t="n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n"/>
      <c r="C19" s="53" t="n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n"/>
      <c r="C20" s="46" t="n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n"/>
      <c r="C21" s="53" t="n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n"/>
      <c r="C22" s="46" t="n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n"/>
      <c r="C23" s="53" t="n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n"/>
      <c r="C24" s="46" t="n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n"/>
      <c r="C25" s="53" t="n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n"/>
      <c r="C26" s="46" t="n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n"/>
      <c r="C27" s="53" t="n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n"/>
      <c r="C28" s="46" t="n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n"/>
      <c r="C29" s="53" t="n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5C4D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straty</t>
        </is>
      </c>
    </row>
    <row r="2" ht="20" customHeight="1">
      <c r="B2" s="2" t="inlineStr">
        <is>
          <t>Spotreba nápojov a hodnota strát (rozliate)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Položka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Straty (množ.)</t>
        </is>
      </c>
      <c r="H8" s="15" t="inlineStr">
        <is>
          <t>Cena/jedn. €</t>
        </is>
      </c>
      <c r="I8" s="15" t="inlineStr">
        <is>
          <t>Hodnota — straty €</t>
        </is>
      </c>
    </row>
    <row r="9" ht="19" customHeight="1">
      <c r="B9" s="45" t="inlineStr">
        <is>
          <t>Sud piva 50 l</t>
        </is>
      </c>
      <c r="C9" s="46" t="n"/>
      <c r="D9" s="18" t="n"/>
      <c r="E9" s="18" t="n"/>
      <c r="F9" s="18" t="n"/>
      <c r="G9" s="18" t="n"/>
      <c r="H9" s="47" t="n"/>
      <c r="I9" s="49">
        <f>IF(OR(G9="",H9=""),"",G9*H9)</f>
        <v/>
      </c>
    </row>
    <row r="10" ht="19" customHeight="1">
      <c r="B10" s="52" t="inlineStr">
        <is>
          <t>Fľaškové pivo</t>
        </is>
      </c>
      <c r="C10" s="53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45" t="inlineStr">
        <is>
          <t>Vodka 0,7 l</t>
        </is>
      </c>
      <c r="C11" s="46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2" t="inlineStr">
        <is>
          <t>Víno (fľaša)</t>
        </is>
      </c>
      <c r="C12" s="53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45" t="inlineStr">
        <is>
          <t>Nealko (prepravka)</t>
        </is>
      </c>
      <c r="C13" s="46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2" t="n"/>
      <c r="C14" s="53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n"/>
      <c r="C15" s="46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n"/>
      <c r="C16" s="53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n"/>
      <c r="C17" s="46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n"/>
      <c r="C18" s="53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n"/>
      <c r="C19" s="46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n"/>
      <c r="C20" s="53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n"/>
      <c r="C21" s="46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n"/>
      <c r="C22" s="53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n"/>
      <c r="C23" s="46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n"/>
      <c r="C24" s="53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n"/>
      <c r="C25" s="46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n"/>
      <c r="C26" s="53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Straty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982C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~30 % tržieb.</t>
        </is>
      </c>
    </row>
    <row r="9" ht="30" customHeight="1">
      <c r="B9" s="15" t="inlineStr">
        <is>
          <t>Pozícia (barman / čašník)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5C4D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sprepitné.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6261F"/>
    <outlinePr summaryBelow="1" summaryRight="1"/>
    <pageSetUpPr/>
  </sheetPr>
  <dimension ref="A1:K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.2" customWidth="1" min="8" max="8"/>
    <col width="13" customWidth="1" min="9" max="9"/>
    <col width="13" customWidth="1" min="10" max="10"/>
    <col width="14" customWidth="1" min="11" max="11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Zodpovedný výčap alkoholu</t>
        </is>
      </c>
      <c r="F7" s="15" t="inlineStr">
        <is>
          <t>Hygiena potravín</t>
        </is>
      </c>
      <c r="G7" s="15" t="inlineStr">
        <is>
          <t>Alergény</t>
        </is>
      </c>
      <c r="H7" s="15" t="inlineStr">
        <is>
          <t>Manipulácia s bremenami (sudy)</t>
        </is>
      </c>
      <c r="I7" s="15" t="inlineStr">
        <is>
          <t>Požiarna ochrana</t>
        </is>
      </c>
      <c r="J7" s="15" t="inlineStr">
        <is>
          <t>BOZP / prvá pomoc</t>
        </is>
      </c>
      <c r="K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60" t="n"/>
      <c r="K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60" t="n"/>
      <c r="K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53" t="n"/>
    </row>
    <row r="24"/>
    <row r="25" ht="30" customHeight="1">
      <c r="B25" s="61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1:K1"/>
    <mergeCell ref="C5:E5"/>
    <mergeCell ref="B25:K25"/>
    <mergeCell ref="B6:K6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Bar / pub (SK)</dc:title>
  <dcterms:created xsi:type="dcterms:W3CDTF">2026-05-31T11:01:55Z</dcterms:created>
  <dcterms:modified xsi:type="dcterms:W3CDTF">2026-05-31T11:01:55Z</dcterms:modified>
</cp:coreProperties>
</file>