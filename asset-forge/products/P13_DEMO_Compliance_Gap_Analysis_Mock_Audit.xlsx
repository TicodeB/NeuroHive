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Gap Analysis · Analýza" sheetId="2" state="visible" r:id="rId2"/>
    <sheet name="02 · Mock Audit · Skúšobný audit" sheetId="3" state="visible" r:id="rId3"/>
    <sheet name="03 · Readiness · Pripravenosť" sheetId="4" state="visible" r:id="rId4"/>
    <sheet name="04 · Next Steps · Ďalšie kro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A5F"/>
      <sz val="13"/>
    </font>
    <font>
      <name val="Calibri"/>
      <i val="1"/>
      <color rgb="002A7D7B"/>
      <sz val="10"/>
    </font>
    <font>
      <name val="Calibri"/>
      <b val="1"/>
      <color rgb="00FFFFFF"/>
      <sz val="12"/>
    </font>
    <font>
      <name val="Calibri"/>
      <b val="1"/>
      <color rgb="001F3A5F"/>
      <sz val="10"/>
    </font>
    <font>
      <name val="Calibri"/>
      <i val="1"/>
      <color rgb="00404040"/>
      <sz val="10"/>
    </font>
    <font>
      <name val="Calibri"/>
      <i val="1"/>
      <color rgb="00808080"/>
      <sz val="8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1F3A5F"/>
      <sz val="9"/>
    </font>
    <font>
      <name val="Calibri"/>
      <b val="1"/>
      <color rgb="00FFFFFF"/>
      <sz val="11"/>
    </font>
    <font>
      <name val="Calibri"/>
      <color rgb="00404040"/>
      <sz val="8"/>
    </font>
    <font>
      <name val="Calibri"/>
      <b val="1"/>
      <color rgb="001F3A5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A5F"/>
      <sz val="12"/>
    </font>
    <font>
      <name val="Calibri"/>
      <b val="1"/>
      <color rgb="009C0006"/>
      <sz val="10"/>
    </font>
    <font>
      <name val="Calibri"/>
      <b val="1"/>
      <color rgb="001F3A5F"/>
      <sz val="11"/>
    </font>
    <font>
      <name val="Calibri"/>
      <b val="1"/>
      <color rgb="002A7D7B"/>
      <sz val="16"/>
    </font>
    <font>
      <name val="Calibri"/>
      <b val="1"/>
      <color rgb="00000000"/>
      <sz val="10"/>
    </font>
    <font>
      <name val="Calibri"/>
      <i val="1"/>
      <color rgb="00404040"/>
      <sz val="9"/>
    </font>
    <font>
      <name val="Calibri"/>
      <b val="1"/>
      <color rgb="009C0006"/>
      <sz val="12"/>
    </font>
    <font>
      <name val="Calibri"/>
      <b val="1"/>
      <color rgb="00BF8F00"/>
      <sz val="10"/>
    </font>
    <font>
      <name val="Calibri"/>
      <b val="1"/>
      <color rgb="00BF8F00"/>
      <sz val="12"/>
    </font>
    <font>
      <name val="Calibri"/>
      <b val="1"/>
      <color rgb="002A7D7B"/>
      <sz val="9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2A7D7B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0" applyAlignment="1" pivotButton="0" quotePrefix="0" xfId="0">
      <alignment horizontal="left" vertical="top" wrapText="1" inden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right" vertical="center"/>
    </xf>
    <xf numFmtId="9" fontId="16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0" fillId="7" borderId="1" pivotButton="0" quotePrefix="0" xfId="0"/>
    <xf numFmtId="0" fontId="1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18" fillId="6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9" fontId="16" fillId="0" borderId="1" applyAlignment="1" pivotButton="0" quotePrefix="0" xfId="0">
      <alignment horizontal="center" vertical="center"/>
    </xf>
    <xf numFmtId="9" fontId="19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indent="1"/>
    </xf>
    <xf numFmtId="0" fontId="21" fillId="0" borderId="1" applyAlignment="1" pivotButton="0" quotePrefix="0" xfId="0">
      <alignment vertical="center" indent="1"/>
    </xf>
    <xf numFmtId="0" fontId="20" fillId="5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indent="1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indent="1"/>
    </xf>
    <xf numFmtId="0" fontId="2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 indent="1"/>
    </xf>
    <xf numFmtId="0" fontId="25" fillId="0" borderId="1" applyAlignment="1" pivotButton="0" quotePrefix="0" xfId="0">
      <alignment horizontal="left" vertical="center" wrapText="1" indent="1"/>
    </xf>
    <xf numFmtId="0" fontId="18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13" fillId="7" borderId="1" applyAlignment="1" pivotButton="0" quotePrefix="0" xfId="0">
      <alignment horizontal="left" vertical="center" wrapText="1" indent="1"/>
    </xf>
    <xf numFmtId="0" fontId="25" fillId="7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left" vertical="center" wrapText="1" indent="1"/>
    </xf>
    <xf numFmtId="0" fontId="2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1" ht="22" customHeight="1">
      <c r="A1" s="1" t="inlineStr">
        <is>
          <t>DEMO — PREVIEW ONLY · enter your email to download the free editable file · ukážka — zadajte e-mail a stiahnite si bezplatný upraviteľný súbor</t>
        </is>
      </c>
    </row>
    <row r="2" ht="26" customHeight="1">
      <c r="A2" s="2" t="inlineStr">
        <is>
          <t>COMPLIANCE GAP-ANALYSIS &amp; MOCK-AUDIT</t>
        </is>
      </c>
    </row>
    <row r="3">
      <c r="A3" s="3" t="inlineStr">
        <is>
          <t>Analýza nedostatkov a skúšobný audit — „Prejdem auditom?“</t>
        </is>
      </c>
    </row>
    <row r="4">
      <c r="A4" s="4" t="inlineStr">
        <is>
          <t>Score your readiness in 15 minutes · Ohodnoťte svoju pripravenosť za 15 minút</t>
        </is>
      </c>
    </row>
    <row r="5" ht="6" customHeight="1"/>
    <row r="6" ht="24" customHeight="1"/>
    <row r="7" ht="18" customHeight="1">
      <c r="A7" s="5" t="inlineStr">
        <is>
          <t>WHAT'S INSIDE / ČO OBSAHUJE</t>
        </is>
      </c>
    </row>
    <row r="8" ht="18" customHeight="1">
      <c r="A8" s="6" t="inlineStr">
        <is>
          <t>01 · Clause-by-clause Gap Analysis</t>
        </is>
      </c>
      <c r="E8" s="7" t="inlineStr">
        <is>
          <t>Analýza nedostatkov po jednotlivých bodoch</t>
        </is>
      </c>
    </row>
    <row r="9" ht="18" customHeight="1">
      <c r="A9" s="6" t="inlineStr">
        <is>
          <t>02 · Mock-Audit Readiness Self-Assessment</t>
        </is>
      </c>
      <c r="E9" s="7" t="inlineStr">
        <is>
          <t>Skúšobný audit — sebahodnotenie pripravenosti</t>
        </is>
      </c>
    </row>
    <row r="10" ht="18" customHeight="1">
      <c r="A10" s="6" t="inlineStr">
        <is>
          <t>03 · Readiness Score &amp; Verdict (RAG)</t>
        </is>
      </c>
      <c r="E10" s="7" t="inlineStr">
        <is>
          <t>Skóre pripravenosti a verdikt (RAG)</t>
        </is>
      </c>
    </row>
    <row r="11" ht="6" customHeight="1">
      <c r="A11" s="6" t="inlineStr">
        <is>
          <t>04 · Next Steps — which kit closes your gaps</t>
        </is>
      </c>
      <c r="E11" s="7" t="inlineStr">
        <is>
          <t>Ďalšie kroky — ktorý balík vyrieši vaše medzery</t>
        </is>
      </c>
    </row>
    <row r="12" ht="24" customHeight="1"/>
    <row r="13" ht="18" customHeight="1">
      <c r="A13" s="5" t="inlineStr">
        <is>
          <t>WHAT IT IS / ČO TO JE</t>
        </is>
      </c>
    </row>
    <row r="14" ht="18" customHeight="1">
      <c r="A14" s="6" t="inlineStr">
        <is>
          <t>A generic readiness check across the common management-system spine</t>
        </is>
      </c>
      <c r="E14" s="7" t="inlineStr">
        <is>
          <t>Všeobecná kontrola pripravenosti naprieč spoločnou kostrou systému riadenia</t>
        </is>
      </c>
    </row>
    <row r="15" ht="18" customHeight="1">
      <c r="A15" s="6" t="inlineStr">
        <is>
          <t>(ISO 9001 · ISO 22000 · HACCP · BRCGS · IFS · FSSC 22000 structure)</t>
        </is>
      </c>
      <c r="E15" s="7" t="inlineStr">
        <is>
          <t>(štruktúra ISO 9001 · ISO 22000 · HACCP · BRCGS · IFS · FSSC 22000)</t>
        </is>
      </c>
    </row>
    <row r="16" ht="18" customHeight="1">
      <c r="A16" s="6" t="inlineStr">
        <is>
          <t>Audit-ready for a TÜV-style certifier auditing you to these standards —</t>
        </is>
      </c>
      <c r="E16" s="7" t="inlineStr">
        <is>
          <t>Pripravené pre certifikačný orgán (štýl TÜV), ktorý vás audituje podľa týchto noriem —</t>
        </is>
      </c>
    </row>
    <row r="17" ht="6" customHeight="1">
      <c r="A17" s="6" t="inlineStr">
        <is>
          <t>NOT a 'TÜV template'. TÜV is a certifier, not a standard.</t>
        </is>
      </c>
      <c r="E17" s="7" t="inlineStr">
        <is>
          <t>NIE je to „TÜV šablóna“. TÜV je certifikačný orgán, nie norma.</t>
        </is>
      </c>
    </row>
    <row r="18" ht="24" customHeight="1"/>
    <row r="19" ht="18" customHeight="1">
      <c r="A19" s="5" t="inlineStr">
        <is>
          <t>HOW TO USE / AKO POUŽÍVAŤ</t>
        </is>
      </c>
    </row>
    <row r="20" ht="18" customHeight="1">
      <c r="A20" s="6" t="inlineStr">
        <is>
          <t>1. On Sheet 01, set a Status for each clause (dropdown).</t>
        </is>
      </c>
      <c r="E20" s="7" t="inlineStr">
        <is>
          <t>1. Na hárku 01 nastavte stav pre každý bod (rozbaľovací zoznam).</t>
        </is>
      </c>
    </row>
    <row r="21" ht="18" customHeight="1">
      <c r="A21" s="6" t="inlineStr">
        <is>
          <t>2. On Sheet 02, answer the 20 mock-audit questions.</t>
        </is>
      </c>
      <c r="E21" s="7" t="inlineStr">
        <is>
          <t>2. Na hárku 02 odpovedzte na 20 otázok skúšobného auditu.</t>
        </is>
      </c>
    </row>
    <row r="22" ht="18" customHeight="1">
      <c r="A22" s="6" t="inlineStr">
        <is>
          <t>3. Sheet 03 auto-calculates your readiness % and verdict.</t>
        </is>
      </c>
      <c r="E22" s="7" t="inlineStr">
        <is>
          <t>3. Hárok 03 automaticky vypočíta % pripravenosti a verdikt.</t>
        </is>
      </c>
    </row>
    <row r="23" ht="18" customHeight="1">
      <c r="A23" s="6" t="inlineStr">
        <is>
          <t>4. Sheet 04 routes you to the kit that closes the gaps.</t>
        </is>
      </c>
      <c r="E23" s="7" t="inlineStr">
        <is>
          <t>4. Hárok 04 vás nasmeruje na balík, ktorý medzery vyrieši.</t>
        </is>
      </c>
    </row>
    <row r="24">
      <c r="A24" s="6" t="inlineStr">
        <is>
          <t>Amber = you fill · Green/Red = auto-scored · Grey = guidance.</t>
        </is>
      </c>
      <c r="E24" s="7" t="inlineStr">
        <is>
          <t>Oranžová = vyplníte · Zelená/červená = automaticky · Sivá = pokyny.</t>
        </is>
      </c>
    </row>
    <row r="25" ht="28" customHeight="1"/>
    <row r="26">
      <c r="A26" s="8" t="inlineStr">
        <is>
          <t>ASSET-FORGE · v1.0 · 30/05/2026 · EU (Ireland) · FREE lead magnet · Template only — not legal advice nor a guarantee of certification. · Šablóna — nie je právne poradenstvo ani záruka certifikácie.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33">
    <mergeCell ref="A23:D23"/>
    <mergeCell ref="A8:D8"/>
    <mergeCell ref="A22:D22"/>
    <mergeCell ref="A20:D20"/>
    <mergeCell ref="E16:H16"/>
    <mergeCell ref="E7:H7"/>
    <mergeCell ref="A19:D19"/>
    <mergeCell ref="A1:H1"/>
    <mergeCell ref="A10:D10"/>
    <mergeCell ref="A13:D13"/>
    <mergeCell ref="A6:H6"/>
    <mergeCell ref="E22:H22"/>
    <mergeCell ref="A9:D9"/>
    <mergeCell ref="A25:H25"/>
    <mergeCell ref="E21:H21"/>
    <mergeCell ref="A15:D15"/>
    <mergeCell ref="A12:H12"/>
    <mergeCell ref="E14:H14"/>
    <mergeCell ref="A18:H18"/>
    <mergeCell ref="A3:H3"/>
    <mergeCell ref="E23:H23"/>
    <mergeCell ref="E8:H8"/>
    <mergeCell ref="A2:H2"/>
    <mergeCell ref="E20:H20"/>
    <mergeCell ref="A7:D7"/>
    <mergeCell ref="A16:D16"/>
    <mergeCell ref="E19:H19"/>
    <mergeCell ref="E10:H10"/>
    <mergeCell ref="E13:H13"/>
    <mergeCell ref="E9:H9"/>
    <mergeCell ref="A21:D21"/>
    <mergeCell ref="E15:H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D7B"/>
    <outlinePr summaryBelow="1" summaryRight="1"/>
    <pageSetUpPr/>
  </sheetPr>
  <dimension ref="A1:H3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46" customWidth="1" min="3" max="3"/>
    <col width="22" customWidth="1" min="4" max="4"/>
    <col width="12" customWidth="1" min="5" max="5"/>
    <col width="26" customWidth="1" min="6" max="6"/>
    <col width="26" customWidth="1" min="7" max="7"/>
    <col width="12" customWidth="1" min="8" max="8"/>
  </cols>
  <sheetData>
    <row r="1" ht="22" customHeight="1">
      <c r="A1" s="1" t="inlineStr">
        <is>
          <t>DEMO — PREVIEW ONLY · enter your email to download the free editable file · ukážka — zadajte e-mail a stiahnite si bezplatný upraviteľný súbor</t>
        </is>
      </c>
    </row>
    <row r="2" ht="26" customHeight="1">
      <c r="A2" s="9" t="inlineStr">
        <is>
          <t>Clause-by-clause Gap Analysis  |  Analýza nedostatkov po jednotlivých bodoch</t>
        </is>
      </c>
    </row>
    <row r="3">
      <c r="A3" s="10" t="inlineStr">
        <is>
          <t>Current state vs each requirement — % conformance auto-rolls up to Sheet 03  ·  Aktuálny stav vs každá požiadavka — % zhody sa prenáša na hárok 03</t>
        </is>
      </c>
    </row>
    <row r="4">
      <c r="A4" s="11" t="inlineStr">
        <is>
          <t>Business name / Názov prevádzky:</t>
        </is>
      </c>
      <c r="B4" s="12" t="inlineStr"/>
    </row>
    <row r="5">
      <c r="A5" s="11" t="inlineStr">
        <is>
          <t>Standard / scheme assessed / Posudzovaná norma / schéma:</t>
        </is>
      </c>
      <c r="B5" s="12" t="inlineStr"/>
    </row>
    <row r="6" ht="32" customHeight="1">
      <c r="A6" s="11" t="inlineStr">
        <is>
          <t>Date assessed (DD/MM/YYYY) / Dátum posúdenia:</t>
        </is>
      </c>
      <c r="B6" s="12" t="inlineStr"/>
    </row>
    <row r="7">
      <c r="A7" s="13" t="inlineStr">
        <is>
          <t>ℹ  Set a Status per clause: Conform (100%) · Partial (50%) · Not in place (0%) · N/A (excluded). Conformance % and Priority fill automatically. Non-food businesses set the 8F food rows to N/A.
    Nastavte stav: Zhoda (100 %) · Čiastočne (50 %) · Chýba (0 %) · Neaplikuje (vylúčené). % zhody a priorita sa vyplnia automaticky. Nepotravinárske prevádzky nastavia riadky 8F na Neaplikuje.</t>
        </is>
      </c>
    </row>
    <row r="8" ht="38" customHeight="1"/>
    <row r="9" ht="30" customHeight="1">
      <c r="A9" s="14" t="inlineStr">
        <is>
          <t>Section
Sekcia</t>
        </is>
      </c>
      <c r="B9" s="14" t="inlineStr">
        <is>
          <t>Clause
Bod</t>
        </is>
      </c>
      <c r="C9" s="14" t="inlineStr">
        <is>
          <t>Requirement
Požiadavka</t>
        </is>
      </c>
      <c r="D9" s="14" t="inlineStr">
        <is>
          <t>Status
Stav</t>
        </is>
      </c>
      <c r="E9" s="14" t="inlineStr">
        <is>
          <t>Conf. %
Zhoda %</t>
        </is>
      </c>
      <c r="F9" s="14" t="inlineStr">
        <is>
          <t>Evidence / where
Dôkaz / kde</t>
        </is>
      </c>
      <c r="G9" s="14" t="inlineStr">
        <is>
          <t>Action to close
Opatrenie</t>
        </is>
      </c>
      <c r="H9" s="14" t="inlineStr">
        <is>
          <t>Priority
Priorita</t>
        </is>
      </c>
    </row>
    <row r="10" ht="30" customHeight="1">
      <c r="A10" s="15" t="inlineStr">
        <is>
          <t>4 · Context / Kontext</t>
        </is>
      </c>
      <c r="B10" s="16" t="inlineStr">
        <is>
          <t>4.1</t>
        </is>
      </c>
      <c r="C10" s="17" t="inlineStr">
        <is>
          <t>Internal &amp; external issues affecting the business are identified
Interné a externé faktory ovplyvňujúce prevádzku sú identifikované</t>
        </is>
      </c>
      <c r="D10" s="18" t="inlineStr"/>
      <c r="E10" s="19">
        <f>IF(D9="","",IF(LEFT(D9,3)="Con",1,IF(LEFT(D9,3)="Par",0.5,IF(LEFT(D9,3)="Not",0,""))))</f>
        <v/>
      </c>
      <c r="F10" s="12" t="inlineStr"/>
      <c r="G10" s="12" t="inlineStr"/>
      <c r="H10" s="20">
        <f>IF(D9="","",IF(LEFT(D9,3)="Not","HIGH",IF(LEFT(D9,3)="Par","MEDIUM","")))</f>
        <v/>
      </c>
    </row>
    <row r="11" ht="30" customHeight="1">
      <c r="A11" s="15" t="inlineStr">
        <is>
          <t>4 · Context / Kontext</t>
        </is>
      </c>
      <c r="B11" s="16" t="inlineStr">
        <is>
          <t>4.2</t>
        </is>
      </c>
      <c r="C11" s="17" t="inlineStr">
        <is>
          <t>Needs &amp; expectations of interested parties (customers, regulators) recorded
Potreby a očakávania zainteresovaných strán sú zaznamenané</t>
        </is>
      </c>
      <c r="D11" s="18" t="inlineStr"/>
      <c r="E11" s="19">
        <f>IF(D10="","",IF(LEFT(D10,3)="Con",1,IF(LEFT(D10,3)="Par",0.5,IF(LEFT(D10,3)="Not",0,""))))</f>
        <v/>
      </c>
      <c r="F11" s="12" t="inlineStr"/>
      <c r="G11" s="12" t="inlineStr"/>
      <c r="H11" s="20">
        <f>IF(D10="","",IF(LEFT(D10,3)="Not","HIGH",IF(LEFT(D10,3)="Par","MEDIUM","")))</f>
        <v/>
      </c>
    </row>
    <row r="12" ht="30" customHeight="1">
      <c r="A12" s="15" t="inlineStr">
        <is>
          <t>4 · Context / Kontext</t>
        </is>
      </c>
      <c r="B12" s="16" t="inlineStr">
        <is>
          <t>4.3/4.4</t>
        </is>
      </c>
      <c r="C12" s="17" t="inlineStr">
        <is>
          <t>Scope of the management system is defined and key processes are mapped
Rozsah systému riadenia je definovaný a kľúčové procesy zmapované</t>
        </is>
      </c>
      <c r="D12" s="18" t="inlineStr"/>
      <c r="E12" s="19">
        <f>IF(D11="","",IF(LEFT(D11,3)="Con",1,IF(LEFT(D11,3)="Par",0.5,IF(LEFT(D11,3)="Not",0,""))))</f>
        <v/>
      </c>
      <c r="F12" s="12" t="inlineStr"/>
      <c r="G12" s="12" t="inlineStr"/>
      <c r="H12" s="20">
        <f>IF(D11="","",IF(LEFT(D11,3)="Not","HIGH",IF(LEFT(D11,3)="Par","MEDIUM","")))</f>
        <v/>
      </c>
    </row>
    <row r="13" ht="30" customHeight="1">
      <c r="A13" s="15" t="inlineStr">
        <is>
          <t>5 · Leadership / Vedenie</t>
        </is>
      </c>
      <c r="B13" s="16" t="inlineStr">
        <is>
          <t>5.1</t>
        </is>
      </c>
      <c r="C13" s="17" t="inlineStr">
        <is>
          <t>Top management demonstrably commits to and resources the system
Vrcholový manažment preukázateľne podporuje a zdrojuje systém</t>
        </is>
      </c>
      <c r="D13" s="18" t="inlineStr"/>
      <c r="E13" s="19">
        <f>IF(D12="","",IF(LEFT(D12,3)="Con",1,IF(LEFT(D12,3)="Par",0.5,IF(LEFT(D12,3)="Not",0,""))))</f>
        <v/>
      </c>
      <c r="F13" s="12" t="inlineStr"/>
      <c r="G13" s="12" t="inlineStr"/>
      <c r="H13" s="20">
        <f>IF(D12="","",IF(LEFT(D12,3)="Not","HIGH",IF(LEFT(D12,3)="Par","MEDIUM","")))</f>
        <v/>
      </c>
    </row>
    <row r="14" ht="30" customHeight="1">
      <c r="A14" s="15" t="inlineStr">
        <is>
          <t>5 · Leadership / Vedenie</t>
        </is>
      </c>
      <c r="B14" s="16" t="inlineStr">
        <is>
          <t>5.2</t>
        </is>
      </c>
      <c r="C14" s="17" t="inlineStr">
        <is>
          <t>A policy is documented, communicated and available to staff
Politika je zdokumentovaná, komunikovaná a dostupná zamestnancom</t>
        </is>
      </c>
      <c r="D14" s="18" t="inlineStr"/>
      <c r="E14" s="19">
        <f>IF(D13="","",IF(LEFT(D13,3)="Con",1,IF(LEFT(D13,3)="Par",0.5,IF(LEFT(D13,3)="Not",0,""))))</f>
        <v/>
      </c>
      <c r="F14" s="12" t="inlineStr"/>
      <c r="G14" s="12" t="inlineStr"/>
      <c r="H14" s="20">
        <f>IF(D13="","",IF(LEFT(D13,3)="Not","HIGH",IF(LEFT(D13,3)="Par","MEDIUM","")))</f>
        <v/>
      </c>
    </row>
    <row r="15" ht="30" customHeight="1">
      <c r="A15" s="15" t="inlineStr">
        <is>
          <t>5 · Leadership / Vedenie</t>
        </is>
      </c>
      <c r="B15" s="16" t="inlineStr">
        <is>
          <t>5.3</t>
        </is>
      </c>
      <c r="C15" s="17" t="inlineStr">
        <is>
          <t>Roles, responsibilities and authorities are assigned and understood
Úlohy, zodpovednosti a právomoci sú pridelené a pochopené</t>
        </is>
      </c>
      <c r="D15" s="18" t="inlineStr"/>
      <c r="E15" s="19">
        <f>IF(D14="","",IF(LEFT(D14,3)="Con",1,IF(LEFT(D14,3)="Par",0.5,IF(LEFT(D14,3)="Not",0,""))))</f>
        <v/>
      </c>
      <c r="F15" s="12" t="inlineStr"/>
      <c r="G15" s="12" t="inlineStr"/>
      <c r="H15" s="20">
        <f>IF(D14="","",IF(LEFT(D14,3)="Not","HIGH",IF(LEFT(D14,3)="Par","MEDIUM","")))</f>
        <v/>
      </c>
    </row>
    <row r="16" ht="30" customHeight="1">
      <c r="A16" s="15" t="inlineStr">
        <is>
          <t>6 · Planning / Plánovanie</t>
        </is>
      </c>
      <c r="B16" s="16" t="inlineStr">
        <is>
          <t>6.1</t>
        </is>
      </c>
      <c r="C16" s="17" t="inlineStr">
        <is>
          <t>Risks &amp; opportunities are assessed (incl. climate, Amd 1:2024)
Riziká a príležitosti sú posúdené (vrátane klímy, dodatok 1:2024)</t>
        </is>
      </c>
      <c r="D16" s="18" t="inlineStr"/>
      <c r="E16" s="19">
        <f>IF(D15="","",IF(LEFT(D15,3)="Con",1,IF(LEFT(D15,3)="Par",0.5,IF(LEFT(D15,3)="Not",0,""))))</f>
        <v/>
      </c>
      <c r="F16" s="12" t="inlineStr"/>
      <c r="G16" s="12" t="inlineStr"/>
      <c r="H16" s="20">
        <f>IF(D15="","",IF(LEFT(D15,3)="Not","HIGH",IF(LEFT(D15,3)="Par","MEDIUM","")))</f>
        <v/>
      </c>
    </row>
    <row r="17" ht="30" customHeight="1">
      <c r="A17" s="15" t="inlineStr">
        <is>
          <t>6 · Planning / Plánovanie</t>
        </is>
      </c>
      <c r="B17" s="16" t="inlineStr">
        <is>
          <t>6.2</t>
        </is>
      </c>
      <c r="C17" s="17" t="inlineStr">
        <is>
          <t>Objectives are set, measurable, with plans to achieve them
Ciele sú stanovené, merateľné a s plánom na ich dosiahnutie</t>
        </is>
      </c>
      <c r="D17" s="18" t="inlineStr"/>
      <c r="E17" s="19">
        <f>IF(D16="","",IF(LEFT(D16,3)="Con",1,IF(LEFT(D16,3)="Par",0.5,IF(LEFT(D16,3)="Not",0,""))))</f>
        <v/>
      </c>
      <c r="F17" s="12" t="inlineStr"/>
      <c r="G17" s="12" t="inlineStr"/>
      <c r="H17" s="20">
        <f>IF(D16="","",IF(LEFT(D16,3)="Not","HIGH",IF(LEFT(D16,3)="Par","MEDIUM","")))</f>
        <v/>
      </c>
    </row>
    <row r="18" ht="30" customHeight="1">
      <c r="A18" s="15" t="inlineStr">
        <is>
          <t>6 · Planning / Plánovanie</t>
        </is>
      </c>
      <c r="B18" s="16" t="inlineStr">
        <is>
          <t>6.3</t>
        </is>
      </c>
      <c r="C18" s="17" t="inlineStr">
        <is>
          <t>Changes to the system are planned and controlled
Zmeny systému sú plánované a riadené</t>
        </is>
      </c>
      <c r="D18" s="18" t="inlineStr"/>
      <c r="E18" s="19">
        <f>IF(D17="","",IF(LEFT(D17,3)="Con",1,IF(LEFT(D17,3)="Par",0.5,IF(LEFT(D17,3)="Not",0,""))))</f>
        <v/>
      </c>
      <c r="F18" s="12" t="inlineStr"/>
      <c r="G18" s="12" t="inlineStr"/>
      <c r="H18" s="20">
        <f>IF(D17="","",IF(LEFT(D17,3)="Not","HIGH",IF(LEFT(D17,3)="Par","MEDIUM","")))</f>
        <v/>
      </c>
    </row>
    <row r="19" ht="30" customHeight="1">
      <c r="A19" s="15" t="inlineStr">
        <is>
          <t>7 · Support / Podpora</t>
        </is>
      </c>
      <c r="B19" s="16" t="inlineStr">
        <is>
          <t>7.1</t>
        </is>
      </c>
      <c r="C19" s="17" t="inlineStr">
        <is>
          <t>Resources, infrastructure and work environment are provided
Zdroje, infraštruktúra a pracovné prostredie sú zabezpečené</t>
        </is>
      </c>
      <c r="D19" s="18" t="inlineStr"/>
      <c r="E19" s="19">
        <f>IF(D18="","",IF(LEFT(D18,3)="Con",1,IF(LEFT(D18,3)="Par",0.5,IF(LEFT(D18,3)="Not",0,""))))</f>
        <v/>
      </c>
      <c r="F19" s="12" t="inlineStr"/>
      <c r="G19" s="12" t="inlineStr"/>
      <c r="H19" s="20">
        <f>IF(D18="","",IF(LEFT(D18,3)="Not","HIGH",IF(LEFT(D18,3)="Par","MEDIUM","")))</f>
        <v/>
      </c>
    </row>
    <row r="20" ht="30" customHeight="1">
      <c r="A20" s="15" t="inlineStr">
        <is>
          <t>7 · Support / Podpora</t>
        </is>
      </c>
      <c r="B20" s="16" t="inlineStr">
        <is>
          <t>7.2</t>
        </is>
      </c>
      <c r="C20" s="17" t="inlineStr">
        <is>
          <t>Competence: training needs identified and training records kept
Kompetencie: potreby školenia určené a záznamy o školení vedené</t>
        </is>
      </c>
      <c r="D20" s="18" t="inlineStr"/>
      <c r="E20" s="19">
        <f>IF(D19="","",IF(LEFT(D19,3)="Con",1,IF(LEFT(D19,3)="Par",0.5,IF(LEFT(D19,3)="Not",0,""))))</f>
        <v/>
      </c>
      <c r="F20" s="12" t="inlineStr"/>
      <c r="G20" s="12" t="inlineStr"/>
      <c r="H20" s="20">
        <f>IF(D19="","",IF(LEFT(D19,3)="Not","HIGH",IF(LEFT(D19,3)="Par","MEDIUM","")))</f>
        <v/>
      </c>
    </row>
    <row r="21" ht="30" customHeight="1">
      <c r="A21" s="15" t="inlineStr">
        <is>
          <t>7 · Support / Podpora</t>
        </is>
      </c>
      <c r="B21" s="16" t="inlineStr">
        <is>
          <t>7.3/7.4</t>
        </is>
      </c>
      <c r="C21" s="17" t="inlineStr">
        <is>
          <t>Staff are aware of the policy; communication is defined
Zamestnanci poznajú politiku; komunikácia je definovaná</t>
        </is>
      </c>
      <c r="D21" s="18" t="inlineStr"/>
      <c r="E21" s="19">
        <f>IF(D20="","",IF(LEFT(D20,3)="Con",1,IF(LEFT(D20,3)="Par",0.5,IF(LEFT(D20,3)="Not",0,""))))</f>
        <v/>
      </c>
      <c r="F21" s="12" t="inlineStr"/>
      <c r="G21" s="12" t="inlineStr"/>
      <c r="H21" s="20">
        <f>IF(D20="","",IF(LEFT(D20,3)="Not","HIGH",IF(LEFT(D20,3)="Par","MEDIUM","")))</f>
        <v/>
      </c>
    </row>
    <row r="22" ht="30" customHeight="1">
      <c r="A22" s="15" t="inlineStr">
        <is>
          <t>7 · Support / Podpora</t>
        </is>
      </c>
      <c r="B22" s="16" t="inlineStr">
        <is>
          <t>7.5</t>
        </is>
      </c>
      <c r="C22" s="17" t="inlineStr">
        <is>
          <t>Documented information is version-controlled, approved and retrievable
Dokumentácia má riadené verzie, je schválená a dohľadateľná</t>
        </is>
      </c>
      <c r="D22" s="18" t="inlineStr"/>
      <c r="E22" s="19">
        <f>IF(D21="","",IF(LEFT(D21,3)="Con",1,IF(LEFT(D21,3)="Par",0.5,IF(LEFT(D21,3)="Not",0,""))))</f>
        <v/>
      </c>
      <c r="F22" s="12" t="inlineStr"/>
      <c r="G22" s="12" t="inlineStr"/>
      <c r="H22" s="20">
        <f>IF(D21="","",IF(LEFT(D21,3)="Not","HIGH",IF(LEFT(D21,3)="Par","MEDIUM","")))</f>
        <v/>
      </c>
    </row>
    <row r="23" ht="30" customHeight="1">
      <c r="A23" s="15" t="inlineStr">
        <is>
          <t>8 · Operation / Prevádzka</t>
        </is>
      </c>
      <c r="B23" s="16" t="inlineStr">
        <is>
          <t>8.1</t>
        </is>
      </c>
      <c r="C23" s="17" t="inlineStr">
        <is>
          <t>Operational processes are planned and controlled
Prevádzkové procesy sú plánované a riadené</t>
        </is>
      </c>
      <c r="D23" s="18" t="inlineStr"/>
      <c r="E23" s="19">
        <f>IF(D22="","",IF(LEFT(D22,3)="Con",1,IF(LEFT(D22,3)="Par",0.5,IF(LEFT(D22,3)="Not",0,""))))</f>
        <v/>
      </c>
      <c r="F23" s="12" t="inlineStr"/>
      <c r="G23" s="12" t="inlineStr"/>
      <c r="H23" s="20">
        <f>IF(D22="","",IF(LEFT(D22,3)="Not","HIGH",IF(LEFT(D22,3)="Par","MEDIUM","")))</f>
        <v/>
      </c>
    </row>
    <row r="24" ht="30" customHeight="1">
      <c r="A24" s="15" t="inlineStr">
        <is>
          <t>8 · Operation / Prevádzka</t>
        </is>
      </c>
      <c r="B24" s="16" t="inlineStr">
        <is>
          <t>8.2</t>
        </is>
      </c>
      <c r="C24" s="17" t="inlineStr">
        <is>
          <t>Work instructions / SOPs exist and are followed in practice
Pracovné postupy (SOP) existujú a v praxi sa dodržiavajú</t>
        </is>
      </c>
      <c r="D24" s="18" t="inlineStr"/>
      <c r="E24" s="19">
        <f>IF(D23="","",IF(LEFT(D23,3)="Con",1,IF(LEFT(D23,3)="Par",0.5,IF(LEFT(D23,3)="Not",0,""))))</f>
        <v/>
      </c>
      <c r="F24" s="12" t="inlineStr"/>
      <c r="G24" s="12" t="inlineStr"/>
      <c r="H24" s="20">
        <f>IF(D23="","",IF(LEFT(D23,3)="Not","HIGH",IF(LEFT(D23,3)="Par","MEDIUM","")))</f>
        <v/>
      </c>
    </row>
    <row r="25" ht="30" customHeight="1">
      <c r="A25" s="15" t="inlineStr">
        <is>
          <t>8 · Operation / Prevádzka</t>
        </is>
      </c>
      <c r="B25" s="16" t="inlineStr">
        <is>
          <t>8.4</t>
        </is>
      </c>
      <c r="C25" s="17" t="inlineStr">
        <is>
          <t>Externally provided products/services controlled (suppliers approved)
Externé produkty/služby sú riadené (dodávatelia schválení)</t>
        </is>
      </c>
      <c r="D25" s="18" t="inlineStr"/>
      <c r="E25" s="19">
        <f>IF(D24="","",IF(LEFT(D24,3)="Con",1,IF(LEFT(D24,3)="Par",0.5,IF(LEFT(D24,3)="Not",0,""))))</f>
        <v/>
      </c>
      <c r="F25" s="12" t="inlineStr"/>
      <c r="G25" s="12" t="inlineStr"/>
      <c r="H25" s="20">
        <f>IF(D24="","",IF(LEFT(D24,3)="Not","HIGH",IF(LEFT(D24,3)="Par","MEDIUM","")))</f>
        <v/>
      </c>
    </row>
    <row r="26" ht="30" customHeight="1">
      <c r="A26" s="15" t="inlineStr">
        <is>
          <t>8F · Food Safety / Bezpečnosť potravín</t>
        </is>
      </c>
      <c r="B26" s="16" t="inlineStr">
        <is>
          <t>HACCP</t>
        </is>
      </c>
      <c r="C26" s="17" t="inlineStr">
        <is>
          <t>HACCP / PRP plan documented with CCPs and critical limits
HACCP / PRP plán s kritickými bodmi (CCP) a kritickými limitmi</t>
        </is>
      </c>
      <c r="D26" s="18" t="inlineStr"/>
      <c r="E26" s="19">
        <f>IF(D25="","",IF(LEFT(D25,3)="Con",1,IF(LEFT(D25,3)="Par",0.5,IF(LEFT(D25,3)="Not",0,""))))</f>
        <v/>
      </c>
      <c r="F26" s="12" t="inlineStr"/>
      <c r="G26" s="12" t="inlineStr"/>
      <c r="H26" s="20">
        <f>IF(D25="","",IF(LEFT(D25,3)="Not","HIGH",IF(LEFT(D25,3)="Par","MEDIUM","")))</f>
        <v/>
      </c>
    </row>
    <row r="27" ht="30" customHeight="1">
      <c r="A27" s="15" t="inlineStr">
        <is>
          <t>8F · Food Safety / Bezpečnosť potravín</t>
        </is>
      </c>
      <c r="B27" s="16" t="inlineStr">
        <is>
          <t>FIC</t>
        </is>
      </c>
      <c r="C27" s="17" t="inlineStr">
        <is>
          <t>Allergen management &amp; labelling in place (Reg. 1169/2011)
Riadenie alergénov a označovanie zavedené (nar. 1169/2011)</t>
        </is>
      </c>
      <c r="D27" s="18" t="inlineStr"/>
      <c r="E27" s="19">
        <f>IF(D26="","",IF(LEFT(D26,3)="Con",1,IF(LEFT(D26,3)="Par",0.5,IF(LEFT(D26,3)="Not",0,""))))</f>
        <v/>
      </c>
      <c r="F27" s="12" t="inlineStr"/>
      <c r="G27" s="12" t="inlineStr"/>
      <c r="H27" s="20">
        <f>IF(D26="","",IF(LEFT(D26,3)="Not","HIGH",IF(LEFT(D26,3)="Par","MEDIUM","")))</f>
        <v/>
      </c>
    </row>
    <row r="28" ht="30" customHeight="1">
      <c r="A28" s="15" t="inlineStr">
        <is>
          <t>8F · Food Safety / Bezpečnosť potravín</t>
        </is>
      </c>
      <c r="B28" s="16" t="inlineStr">
        <is>
          <t>Trace</t>
        </is>
      </c>
      <c r="C28" s="17" t="inlineStr">
        <is>
          <t>Traceability 'one step back/forward' + recall procedure
Vysledovateľnosť „o krok späť/vpred“ + postup stiahnutia produktu</t>
        </is>
      </c>
      <c r="D28" s="18" t="inlineStr"/>
      <c r="E28" s="19">
        <f>IF(D27="","",IF(LEFT(D27,3)="Con",1,IF(LEFT(D27,3)="Par",0.5,IF(LEFT(D27,3)="Not",0,""))))</f>
        <v/>
      </c>
      <c r="F28" s="12" t="inlineStr"/>
      <c r="G28" s="12" t="inlineStr"/>
      <c r="H28" s="20">
        <f>IF(D27="","",IF(LEFT(D27,3)="Not","HIGH",IF(LEFT(D27,3)="Par","MEDIUM","")))</f>
        <v/>
      </c>
    </row>
    <row r="29" ht="30" customHeight="1">
      <c r="A29" s="15" t="inlineStr">
        <is>
          <t>8F · Food Safety / Bezpečnosť potravín</t>
        </is>
      </c>
      <c r="B29" s="16" t="inlineStr">
        <is>
          <t>852</t>
        </is>
      </c>
      <c r="C29" s="17" t="inlineStr">
        <is>
          <t>Hygiene &amp; temperature monitoring records kept (Reg. 852/2004)
Záznamy hygieny a monitorovania teploty vedené (nar. 852/2004)</t>
        </is>
      </c>
      <c r="D29" s="18" t="inlineStr"/>
      <c r="E29" s="19">
        <f>IF(D28="","",IF(LEFT(D28,3)="Con",1,IF(LEFT(D28,3)="Par",0.5,IF(LEFT(D28,3)="Not",0,""))))</f>
        <v/>
      </c>
      <c r="F29" s="12" t="inlineStr"/>
      <c r="G29" s="12" t="inlineStr"/>
      <c r="H29" s="20">
        <f>IF(D28="","",IF(LEFT(D28,3)="Not","HIGH",IF(LEFT(D28,3)="Par","MEDIUM","")))</f>
        <v/>
      </c>
    </row>
    <row r="30" ht="30" customHeight="1">
      <c r="A30" s="15" t="inlineStr">
        <is>
          <t>9 · Performance / Hodnotenie</t>
        </is>
      </c>
      <c r="B30" s="16" t="inlineStr">
        <is>
          <t>9.1</t>
        </is>
      </c>
      <c r="C30" s="17" t="inlineStr">
        <is>
          <t>Monitoring, measurement and analysis are performed and recorded
Monitorovanie, meranie a analýza sa vykonávajú a zaznamenávajú</t>
        </is>
      </c>
      <c r="D30" s="18" t="inlineStr"/>
      <c r="E30" s="19">
        <f>IF(D29="","",IF(LEFT(D29,3)="Con",1,IF(LEFT(D29,3)="Par",0.5,IF(LEFT(D29,3)="Not",0,""))))</f>
        <v/>
      </c>
      <c r="F30" s="12" t="inlineStr"/>
      <c r="G30" s="12" t="inlineStr"/>
      <c r="H30" s="20">
        <f>IF(D29="","",IF(LEFT(D29,3)="Not","HIGH",IF(LEFT(D29,3)="Par","MEDIUM","")))</f>
        <v/>
      </c>
    </row>
    <row r="31" ht="30" customHeight="1">
      <c r="A31" s="15" t="inlineStr">
        <is>
          <t>9 · Performance / Hodnotenie</t>
        </is>
      </c>
      <c r="B31" s="16" t="inlineStr">
        <is>
          <t>9.2</t>
        </is>
      </c>
      <c r="C31" s="17" t="inlineStr">
        <is>
          <t>An internal audit programme is planned and carried out
Program interných auditov je naplánovaný a vykonávaný</t>
        </is>
      </c>
      <c r="D31" s="18" t="inlineStr"/>
      <c r="E31" s="19">
        <f>IF(D30="","",IF(LEFT(D30,3)="Con",1,IF(LEFT(D30,3)="Par",0.5,IF(LEFT(D30,3)="Not",0,""))))</f>
        <v/>
      </c>
      <c r="F31" s="12" t="inlineStr"/>
      <c r="G31" s="12" t="inlineStr"/>
      <c r="H31" s="20">
        <f>IF(D30="","",IF(LEFT(D30,3)="Not","HIGH",IF(LEFT(D30,3)="Par","MEDIUM","")))</f>
        <v/>
      </c>
    </row>
    <row r="32" ht="30" customHeight="1">
      <c r="A32" s="15" t="inlineStr">
        <is>
          <t>9 · Performance / Hodnotenie</t>
        </is>
      </c>
      <c r="B32" s="16" t="inlineStr">
        <is>
          <t>9.3</t>
        </is>
      </c>
      <c r="C32" s="17" t="inlineStr">
        <is>
          <t>Management review meetings are held and minuted
Preskúmania manažmentom sa konajú a vedú sa z nich zápisy</t>
        </is>
      </c>
      <c r="D32" s="18" t="inlineStr"/>
      <c r="E32" s="19">
        <f>IF(D31="","",IF(LEFT(D31,3)="Con",1,IF(LEFT(D31,3)="Par",0.5,IF(LEFT(D31,3)="Not",0,""))))</f>
        <v/>
      </c>
      <c r="F32" s="12" t="inlineStr"/>
      <c r="G32" s="12" t="inlineStr"/>
      <c r="H32" s="20">
        <f>IF(D31="","",IF(LEFT(D31,3)="Not","HIGH",IF(LEFT(D31,3)="Par","MEDIUM","")))</f>
        <v/>
      </c>
    </row>
    <row r="33" ht="30" customHeight="1">
      <c r="A33" s="15" t="inlineStr">
        <is>
          <t>10 · Improvement / Zlepšovanie</t>
        </is>
      </c>
      <c r="B33" s="16" t="inlineStr">
        <is>
          <t>10.1</t>
        </is>
      </c>
      <c r="C33" s="17" t="inlineStr">
        <is>
          <t>Nonconformities are recorded and corrected
Nezhody sú zaznamenané a odstránené</t>
        </is>
      </c>
      <c r="D33" s="18" t="inlineStr"/>
      <c r="E33" s="19">
        <f>IF(D32="","",IF(LEFT(D32,3)="Con",1,IF(LEFT(D32,3)="Par",0.5,IF(LEFT(D32,3)="Not",0,""))))</f>
        <v/>
      </c>
      <c r="F33" s="12" t="inlineStr"/>
      <c r="G33" s="12" t="inlineStr"/>
      <c r="H33" s="20">
        <f>IF(D32="","",IF(LEFT(D32,3)="Not","HIGH",IF(LEFT(D32,3)="Par","MEDIUM","")))</f>
        <v/>
      </c>
    </row>
    <row r="34" ht="30" customHeight="1">
      <c r="A34" s="15" t="inlineStr">
        <is>
          <t>10 · Improvement / Zlepšovanie</t>
        </is>
      </c>
      <c r="B34" s="16" t="inlineStr">
        <is>
          <t>10.2</t>
        </is>
      </c>
      <c r="C34" s="17" t="inlineStr">
        <is>
          <t>Corrective action with root-cause analysis (CAPA log) is used
Nápravné opatrenia s analýzou príčin (CAPA) sa používajú</t>
        </is>
      </c>
      <c r="D34" s="18" t="inlineStr"/>
      <c r="E34" s="19">
        <f>IF(D33="","",IF(LEFT(D33,3)="Con",1,IF(LEFT(D33,3)="Par",0.5,IF(LEFT(D33,3)="Not",0,""))))</f>
        <v/>
      </c>
      <c r="F34" s="12" t="inlineStr"/>
      <c r="G34" s="12" t="inlineStr"/>
      <c r="H34" s="20">
        <f>IF(D33="","",IF(LEFT(D33,3)="Not","HIGH",IF(LEFT(D33,3)="Par","MEDIUM","")))</f>
        <v/>
      </c>
    </row>
    <row r="35" ht="24" customHeight="1">
      <c r="A35" s="15" t="inlineStr">
        <is>
          <t>10 · Improvement / Zlepšovanie</t>
        </is>
      </c>
      <c r="B35" s="16" t="inlineStr">
        <is>
          <t>10.3</t>
        </is>
      </c>
      <c r="C35" s="17" t="inlineStr">
        <is>
          <t>Continual improvement is evidenced over time
Trvalé zlepšovanie je preukázané v čase</t>
        </is>
      </c>
      <c r="D35" s="18" t="inlineStr"/>
      <c r="E35" s="19">
        <f>IF(D34="","",IF(LEFT(D34,3)="Con",1,IF(LEFT(D34,3)="Par",0.5,IF(LEFT(D34,3)="Not",0,""))))</f>
        <v/>
      </c>
      <c r="F35" s="12" t="inlineStr"/>
      <c r="G35" s="12" t="inlineStr"/>
      <c r="H35" s="20">
        <f>IF(D34="","",IF(LEFT(D34,3)="Not","HIGH",IF(LEFT(D34,3)="Par","MEDIUM","")))</f>
        <v/>
      </c>
    </row>
    <row r="36">
      <c r="A36" s="21" t="inlineStr">
        <is>
          <t>OVERALL CONFORMANCE / CELKOVÁ ZHODA →</t>
        </is>
      </c>
      <c r="E36" s="22">
        <f>IF(COUNT(E9:E34)=0,"",AVERAGE(E9:E34))</f>
        <v/>
      </c>
      <c r="F36" s="23">
        <f>CONCATENATE("HIGH-priority gaps / kritické medzery: ",COUNTIF(H9:H34,"HIGH"))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8">
    <mergeCell ref="A35:D35"/>
    <mergeCell ref="B4:H4"/>
    <mergeCell ref="A2:H2"/>
    <mergeCell ref="F35:H35"/>
    <mergeCell ref="A1:H1"/>
    <mergeCell ref="B3:H3"/>
    <mergeCell ref="B5:H5"/>
    <mergeCell ref="A6:H6"/>
  </mergeCells>
  <conditionalFormatting sqref="E9:E34">
    <cfRule type="cellIs" priority="1" operator="greaterThanOrEqual" dxfId="0">
      <formula>0.99</formula>
    </cfRule>
    <cfRule type="cellIs" priority="2" operator="lessThan" dxfId="1">
      <formula>0.5</formula>
    </cfRule>
    <cfRule type="cellIs" priority="3" operator="between" dxfId="2">
      <formula>0.5</formula>
      <formula>0.99</formula>
    </cfRule>
  </conditionalFormatting>
  <conditionalFormatting sqref="H9:H34">
    <cfRule type="cellIs" priority="4" operator="equal" dxfId="3">
      <formula>"HIGH"</formula>
    </cfRule>
    <cfRule type="cellIs" priority="5" operator="equal" dxfId="2">
      <formula>"MEDIUM"</formula>
    </cfRule>
  </conditionalFormatting>
  <dataValidations count="1">
    <dataValidation sqref="D9 D10 D11 D12 D13 D14 D15 D16 D17 D18 D19 D20 D21 D22 D23 D24 D25 D26 D27 D28 D29 D30 D31 D32 D33 D34" showDropDown="0" showInputMessage="0" showErrorMessage="0" allowBlank="1" type="list">
      <formula1>"Conform / Zhoda,Partial / Čiastočne,Not in place / Chýba,N/A / Neaplikuje 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20" customWidth="1" min="3" max="3"/>
    <col width="12" customWidth="1" min="4" max="4"/>
    <col width="36" customWidth="1" min="5" max="5"/>
  </cols>
  <sheetData>
    <row r="1" ht="22" customHeight="1">
      <c r="A1" s="1" t="inlineStr">
        <is>
          <t>DEMO — PREVIEW ONLY · enter your email to download the free editable file · ukážka — zadajte e-mail a stiahnite si bezplatný upraviteľný súbor</t>
        </is>
      </c>
    </row>
    <row r="2" ht="26" customHeight="1">
      <c r="A2" s="9" t="inlineStr">
        <is>
          <t>Mock-Audit · Readiness Self-Assessment  |  Skúšobný audit · Sebahodnotenie pripravenosti</t>
        </is>
      </c>
    </row>
    <row r="3">
      <c r="A3" s="10" t="inlineStr">
        <is>
          <t>Answer honestly as if the auditor is in the room — score auto-rolls up to Sheet 03  ·  Odpovedajte úprimne, akoby bol audítor v miestnosti — skóre sa prenáša na hárok 03</t>
        </is>
      </c>
    </row>
    <row r="4">
      <c r="A4" s="11" t="inlineStr">
        <is>
          <t>Assessed by / Posúdil:</t>
        </is>
      </c>
      <c r="B4" s="12" t="inlineStr"/>
    </row>
    <row r="5" ht="32" customHeight="1">
      <c r="A5" s="11" t="inlineStr">
        <is>
          <t>Date (DD/MM/YYYY) / Dátum:</t>
        </is>
      </c>
      <c r="B5" s="12" t="inlineStr"/>
    </row>
    <row r="6">
      <c r="A6" s="13" t="inlineStr">
        <is>
          <t>ℹ  Yes = you could evidence it now (100%) · Partly = some evidence/gaps (50%) · No = not in place (0%). Be honest — the point is to find gaps before the auditor does.
    Áno = viete to doložiť teraz (100 %) · Čiastočne = časť dôkazov (50 %) · Nie = chýba (0 %). Buďte úprimní — cieľom je nájsť medzery skôr ako audítor.</t>
        </is>
      </c>
    </row>
    <row r="7" ht="32" customHeight="1"/>
    <row r="8" ht="28" customHeight="1">
      <c r="A8" s="14" t="inlineStr">
        <is>
          <t>#</t>
        </is>
      </c>
      <c r="B8" s="14" t="inlineStr">
        <is>
          <t>Question / Otázka</t>
        </is>
      </c>
      <c r="C8" s="14" t="inlineStr">
        <is>
          <t>Answer
Odpoveď</t>
        </is>
      </c>
      <c r="D8" s="14" t="inlineStr">
        <is>
          <t>Score
Skóre</t>
        </is>
      </c>
      <c r="E8" s="14" t="inlineStr">
        <is>
          <t>Note / Poznámka</t>
        </is>
      </c>
    </row>
    <row r="9" ht="28" customHeight="1">
      <c r="A9" s="16" t="n">
        <v>1</v>
      </c>
      <c r="B9" s="17" t="inlineStr">
        <is>
          <t>Could you show a current policy, signed and dated by management?
Viete predložiť aktuálnu politiku podpísanú a datovanú manažmentom?</t>
        </is>
      </c>
      <c r="C9" s="18" t="inlineStr"/>
      <c r="D9" s="19">
        <f>IF(C8="","",IF(LEFT(C8,3)="Yes",1,IF(LEFT(C8,3)="Par",0.5,0)))</f>
        <v/>
      </c>
      <c r="E9" s="24" t="inlineStr"/>
    </row>
    <row r="10" ht="28" customHeight="1">
      <c r="A10" s="25" t="n">
        <v>2</v>
      </c>
      <c r="B10" s="17" t="inlineStr">
        <is>
          <t>Could you produce an up-to-date scope / process map of the business?
Viete predložiť aktuálny rozsah / mapu procesov prevádzky?</t>
        </is>
      </c>
      <c r="C10" s="18" t="inlineStr"/>
      <c r="D10" s="19">
        <f>IF(C9="","",IF(LEFT(C9,3)="Yes",1,IF(LEFT(C9,3)="Par",0.5,0)))</f>
        <v/>
      </c>
      <c r="E10" s="24" t="inlineStr"/>
    </row>
    <row r="11" ht="28" customHeight="1">
      <c r="A11" s="16" t="n">
        <v>3</v>
      </c>
      <c r="B11" s="17" t="inlineStr">
        <is>
          <t>Could you show this year's measurable objectives and progress?
Viete ukázať tohtoročné merateľné ciele a pokrok?</t>
        </is>
      </c>
      <c r="C11" s="18" t="inlineStr"/>
      <c r="D11" s="19">
        <f>IF(C10="","",IF(LEFT(C10,3)="Yes",1,IF(LEFT(C10,3)="Par",0.5,0)))</f>
        <v/>
      </c>
      <c r="E11" s="24" t="inlineStr"/>
    </row>
    <row r="12" ht="28" customHeight="1">
      <c r="A12" s="25" t="n">
        <v>4</v>
      </c>
      <c r="B12" s="17" t="inlineStr">
        <is>
          <t>Has your risk register been reviewed in the last 12 months?
Bol register rizík preskúmaný za posledných 12 mesiacov?</t>
        </is>
      </c>
      <c r="C12" s="18" t="inlineStr"/>
      <c r="D12" s="19">
        <f>IF(C11="","",IF(LEFT(C11,3)="Yes",1,IF(LEFT(C11,3)="Par",0.5,0)))</f>
        <v/>
      </c>
      <c r="E12" s="24" t="inlineStr"/>
    </row>
    <row r="13" ht="28" customHeight="1">
      <c r="A13" s="16" t="n">
        <v>5</v>
      </c>
      <c r="B13" s="17" t="inlineStr">
        <is>
          <t>Could you show training records for every member of staff?
Viete predložiť záznamy o školení pre každého zamestnanca?</t>
        </is>
      </c>
      <c r="C13" s="18" t="inlineStr"/>
      <c r="D13" s="19">
        <f>IF(C12="","",IF(LEFT(C12,3)="Yes",1,IF(LEFT(C12,3)="Par",0.5,0)))</f>
        <v/>
      </c>
      <c r="E13" s="24" t="inlineStr"/>
    </row>
    <row r="14" ht="28" customHeight="1">
      <c r="A14" s="25" t="n">
        <v>6</v>
      </c>
      <c r="B14" s="17" t="inlineStr">
        <is>
          <t>Would staff, asked at random, know the policy and their duties?
Poznali by náhodne oslovení zamestnanci politiku a svoje povinnosti?</t>
        </is>
      </c>
      <c r="C14" s="18" t="inlineStr"/>
      <c r="D14" s="19">
        <f>IF(C13="","",IF(LEFT(C13,3)="Yes",1,IF(LEFT(C13,3)="Par",0.5,0)))</f>
        <v/>
      </c>
      <c r="E14" s="24" t="inlineStr"/>
    </row>
    <row r="15" ht="28" customHeight="1">
      <c r="A15" s="16" t="n">
        <v>7</v>
      </c>
      <c r="B15" s="17" t="inlineStr">
        <is>
          <t>Is your documented information version-controlled (no undated drafts)?
Má vaša dokumentácia riadené verzie (žiadne nedatované koncepty)?</t>
        </is>
      </c>
      <c r="C15" s="18" t="inlineStr"/>
      <c r="D15" s="19">
        <f>IF(C14="","",IF(LEFT(C14,3)="Yes",1,IF(LEFT(C14,3)="Par",0.5,0)))</f>
        <v/>
      </c>
      <c r="E15" s="24" t="inlineStr"/>
    </row>
    <row r="16" ht="28" customHeight="1">
      <c r="A16" s="25" t="n">
        <v>8</v>
      </c>
      <c r="B16" s="17" t="inlineStr">
        <is>
          <t>Could you produce an approved-supplier list with evidence of approval?
Viete predložiť zoznam schválených dodávateľov s dôkazom schválenia?</t>
        </is>
      </c>
      <c r="C16" s="18" t="inlineStr"/>
      <c r="D16" s="19">
        <f>IF(C15="","",IF(LEFT(C15,3)="Yes",1,IF(LEFT(C15,3)="Par",0.5,0)))</f>
        <v/>
      </c>
      <c r="E16" s="24" t="inlineStr"/>
    </row>
    <row r="17" ht="28" customHeight="1">
      <c r="A17" s="16" t="n">
        <v>9</v>
      </c>
      <c r="B17" s="17" t="inlineStr">
        <is>
          <t>(Food) Could you show a HACCP plan with CCPs and critical limits?
(Potraviny) Viete ukázať HACCP plán s CCP a kritickými limitmi?</t>
        </is>
      </c>
      <c r="C17" s="18" t="inlineStr"/>
      <c r="D17" s="19">
        <f>IF(C16="","",IF(LEFT(C16,3)="Yes",1,IF(LEFT(C16,3)="Par",0.5,0)))</f>
        <v/>
      </c>
      <c r="E17" s="24" t="inlineStr"/>
    </row>
    <row r="18" ht="28" customHeight="1">
      <c r="A18" s="25" t="n">
        <v>10</v>
      </c>
      <c r="B18" s="17" t="inlineStr">
        <is>
          <t>(Food) Could you give allergen information for every item/product?
(Potraviny) Viete poskytnúť informácie o alergénoch pre každú položku?</t>
        </is>
      </c>
      <c r="C18" s="18" t="inlineStr"/>
      <c r="D18" s="19">
        <f>IF(C17="","",IF(LEFT(C17,3)="Yes",1,IF(LEFT(C17,3)="Par",0.5,0)))</f>
        <v/>
      </c>
      <c r="E18" s="24" t="inlineStr"/>
    </row>
    <row r="19" ht="28" customHeight="1">
      <c r="A19" s="16" t="n">
        <v>11</v>
      </c>
      <c r="B19" s="17" t="inlineStr">
        <is>
          <t>Could you trace a batch one step back and one step forward in minutes?
Viete vystopovať šaržu o krok späť a o krok vpred v priebehu minút?</t>
        </is>
      </c>
      <c r="C19" s="18" t="inlineStr"/>
      <c r="D19" s="19">
        <f>IF(C18="","",IF(LEFT(C18,3)="Yes",1,IF(LEFT(C18,3)="Par",0.5,0)))</f>
        <v/>
      </c>
      <c r="E19" s="24" t="inlineStr"/>
    </row>
    <row r="20" ht="28" customHeight="1">
      <c r="A20" s="25" t="n">
        <v>12</v>
      </c>
      <c r="B20" s="17" t="inlineStr">
        <is>
          <t>Could you show monitoring records (temperatures/checks) for last month?
Viete ukázať záznamy monitorovania (teploty/kontroly) za minulý mesiac?</t>
        </is>
      </c>
      <c r="C20" s="18" t="inlineStr"/>
      <c r="D20" s="19">
        <f>IF(C19="","",IF(LEFT(C19,3)="Yes",1,IF(LEFT(C19,3)="Par",0.5,0)))</f>
        <v/>
      </c>
      <c r="E20" s="24" t="inlineStr"/>
    </row>
    <row r="21" ht="28" customHeight="1">
      <c r="A21" s="16" t="n">
        <v>13</v>
      </c>
      <c r="B21" s="17" t="inlineStr">
        <is>
          <t>Have you completed at least one internal audit in the last 12 months?
Vykonali ste aspoň jeden interný audit za posledných 12 mesiacov?</t>
        </is>
      </c>
      <c r="C21" s="18" t="inlineStr"/>
      <c r="D21" s="19">
        <f>IF(C20="","",IF(LEFT(C20,3)="Yes",1,IF(LEFT(C20,3)="Par",0.5,0)))</f>
        <v/>
      </c>
      <c r="E21" s="24" t="inlineStr"/>
    </row>
    <row r="22" ht="28" customHeight="1">
      <c r="A22" s="25" t="n">
        <v>14</v>
      </c>
      <c r="B22" s="17" t="inlineStr">
        <is>
          <t>Could you produce minutes of a management review meeting?
Viete predložiť zápis z preskúmania manažmentom?</t>
        </is>
      </c>
      <c r="C22" s="18" t="inlineStr"/>
      <c r="D22" s="19">
        <f>IF(C21="","",IF(LEFT(C21,3)="Yes",1,IF(LEFT(C21,3)="Par",0.5,0)))</f>
        <v/>
      </c>
      <c r="E22" s="24" t="inlineStr"/>
    </row>
    <row r="23" ht="28" customHeight="1">
      <c r="A23" s="16" t="n">
        <v>15</v>
      </c>
      <c r="B23" s="17" t="inlineStr">
        <is>
          <t>Do you keep a nonconformity / corrective-action log that is actually used?
Vediete register nezhôd / nápravných opatrení, ktorý sa naozaj používa?</t>
        </is>
      </c>
      <c r="C23" s="18" t="inlineStr"/>
      <c r="D23" s="19">
        <f>IF(C22="","",IF(LEFT(C22,3)="Yes",1,IF(LEFT(C22,3)="Par",0.5,0)))</f>
        <v/>
      </c>
      <c r="E23" s="24" t="inlineStr"/>
    </row>
    <row r="24" ht="28" customHeight="1">
      <c r="A24" s="25" t="n">
        <v>16</v>
      </c>
      <c r="B24" s="17" t="inlineStr">
        <is>
          <t>Could you show a closed-out corrective action with root-cause analysis?
Viete ukázať uzavreté nápravné opatrenie s analýzou koreňovej príčiny?</t>
        </is>
      </c>
      <c r="C24" s="18" t="inlineStr"/>
      <c r="D24" s="19">
        <f>IF(C23="","",IF(LEFT(C23,3)="Yes",1,IF(LEFT(C23,3)="Par",0.5,0)))</f>
        <v/>
      </c>
      <c r="E24" s="24" t="inlineStr"/>
    </row>
    <row r="25" ht="28" customHeight="1">
      <c r="A25" s="16" t="n">
        <v>17</v>
      </c>
      <c r="B25" s="17" t="inlineStr">
        <is>
          <t>Could you show calibration / verification records for monitoring equipment?
Viete ukázať záznamy o kalibrácii / overení meradiel?</t>
        </is>
      </c>
      <c r="C25" s="18" t="inlineStr"/>
      <c r="D25" s="19">
        <f>IF(C24="","",IF(LEFT(C24,3)="Yes",1,IF(LEFT(C24,3)="Par",0.5,0)))</f>
        <v/>
      </c>
      <c r="E25" s="24" t="inlineStr"/>
    </row>
    <row r="26" ht="28" customHeight="1">
      <c r="A26" s="25" t="n">
        <v>18</v>
      </c>
      <c r="B26" s="17" t="inlineStr">
        <is>
          <t>Can you evidence continual improvement (a clear before/after)?
Viete preukázať trvalé zlepšovanie (jasný stav pred/po)?</t>
        </is>
      </c>
      <c r="C26" s="18" t="inlineStr"/>
      <c r="D26" s="19">
        <f>IF(C25="","",IF(LEFT(C25,3)="Yes",1,IF(LEFT(C25,3)="Par",0.5,0)))</f>
        <v/>
      </c>
      <c r="E26" s="24" t="inlineStr"/>
    </row>
    <row r="27" ht="28" customHeight="1">
      <c r="A27" s="16" t="n">
        <v>19</v>
      </c>
      <c r="B27" s="17" t="inlineStr">
        <is>
          <t>Are records retained for the required period (≥ 12 months) and retrievable?
Sú záznamy uchované požadovaný čas (≥ 12 mesiacov) a dohľadateľné?</t>
        </is>
      </c>
      <c r="C27" s="18" t="inlineStr"/>
      <c r="D27" s="19">
        <f>IF(C26="","",IF(LEFT(C26,3)="Yes",1,IF(LEFT(C26,3)="Par",0.5,0)))</f>
        <v/>
      </c>
      <c r="E27" s="24" t="inlineStr"/>
    </row>
    <row r="28" ht="24" customHeight="1">
      <c r="A28" s="25" t="n">
        <v>20</v>
      </c>
      <c r="B28" s="17" t="inlineStr">
        <is>
          <t>If an auditor arrived unannounced today, would your records be in order?
Keby dnes prišiel audítor bez ohlásenia, boli by vaše záznamy v poriadku?</t>
        </is>
      </c>
      <c r="C28" s="18" t="inlineStr"/>
      <c r="D28" s="19">
        <f>IF(C27="","",IF(LEFT(C27,3)="Yes",1,IF(LEFT(C27,3)="Par",0.5,0)))</f>
        <v/>
      </c>
      <c r="E28" s="24" t="inlineStr"/>
    </row>
    <row r="29">
      <c r="A29" s="21" t="inlineStr">
        <is>
          <t>MOCK-AUDIT READINESS / PRIPRAVENOSŤ →</t>
        </is>
      </c>
      <c r="D29" s="22">
        <f>IF(COUNT(D8:D27)=0,"",AVERAGE(D8:D27))</f>
        <v/>
      </c>
      <c r="E29" s="2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6">
    <mergeCell ref="A28:C28"/>
    <mergeCell ref="B4:E4"/>
    <mergeCell ref="A2:E2"/>
    <mergeCell ref="A1:E1"/>
    <mergeCell ref="A5:E5"/>
    <mergeCell ref="B3:E3"/>
  </mergeCells>
  <conditionalFormatting sqref="D8:D27">
    <cfRule type="cellIs" priority="1" operator="greaterThanOrEqual" dxfId="0">
      <formula>0.99</formula>
    </cfRule>
    <cfRule type="cellIs" priority="2" operator="lessThan" dxfId="1">
      <formula>0.5</formula>
    </cfRule>
    <cfRule type="cellIs" priority="3" operator="between" dxfId="2">
      <formula>0.5</formula>
      <formula>0.99</formula>
    </cfRule>
  </conditionalFormatting>
  <dataValidations count="1">
    <dataValidation sqref="C8 C9 C10 C11 C12 C13 C14 C15 C16 C17 C18 C19 C20 C21 C22 C23 C24 C25 C26 C27" showDropDown="0" showInputMessage="0" showErrorMessage="0" allowBlank="1" type="list">
      <formula1>"Yes / Áno,Partly / Čiastočne,No / Nie"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30" customWidth="1" min="4" max="4"/>
    <col width="16" customWidth="1" min="5" max="5"/>
    <col width="16" customWidth="1" min="6" max="6"/>
  </cols>
  <sheetData>
    <row r="1" ht="22" customHeight="1">
      <c r="A1" s="1" t="inlineStr">
        <is>
          <t>DEMO — PREVIEW ONLY · enter your email to download the free editable file · ukážka — zadajte e-mail a stiahnite si bezplatný upraviteľný súbor</t>
        </is>
      </c>
    </row>
    <row r="2" ht="26" customHeight="1">
      <c r="A2" s="9" t="inlineStr">
        <is>
          <t>Readiness Score &amp; Verdict  |  Skóre pripravenosti a verdikt</t>
        </is>
      </c>
    </row>
    <row r="3">
      <c r="A3" s="10" t="inlineStr">
        <is>
          <t>Auto-calculated from Sheets 01 &amp; 02 — the answer to 'will I pass?'  ·  Automaticky z hárkov 01 a 02 — odpoveď na otázku „prejdem?“</t>
        </is>
      </c>
    </row>
    <row r="4" ht="30" customHeight="1"/>
    <row r="5" ht="30" customHeight="1">
      <c r="A5" s="27" t="inlineStr">
        <is>
          <t>Gap-analysis conformance / Zhoda z analýzy nedostatkov</t>
        </is>
      </c>
      <c r="B5" s="28" t="n"/>
      <c r="C5" s="29" t="n"/>
      <c r="D5" s="30">
        <f>IF('01 · Gap Analysis · Analýza'!E35="","",'01 · Gap Analysis · Analýza'!E35)</f>
        <v/>
      </c>
      <c r="E5" s="28" t="n"/>
      <c r="F5" s="29" t="n"/>
    </row>
    <row r="6" ht="40" customHeight="1">
      <c r="A6" s="27" t="inlineStr">
        <is>
          <t>Mock-audit readiness / Pripravenosť zo skúšobného auditu</t>
        </is>
      </c>
      <c r="B6" s="28" t="n"/>
      <c r="C6" s="29" t="n"/>
      <c r="D6" s="30">
        <f>IF('02 · Mock Audit · Skúšobný audit'!D28="","",'02 · Mock Audit · Skúšobný audit'!D28)</f>
        <v/>
      </c>
      <c r="E6" s="28" t="n"/>
      <c r="F6" s="29" t="n"/>
    </row>
    <row r="7">
      <c r="A7" s="27" t="inlineStr">
        <is>
          <t>OVERALL READINESS / CELKOVÁ PRIPRAVENOSŤ</t>
        </is>
      </c>
      <c r="B7" s="28" t="n"/>
      <c r="C7" s="29" t="n"/>
      <c r="D7" s="31">
        <f>IF(AND('01 · Gap Analysis · Analýza'!E35="",'02 · Mock Audit · Skúšobný audit'!D28=""),"",IF('01 · Gap Analysis · Analýza'!E35="",'02 · Mock Audit · Skúšobný audit'!D28,IF('02 · Mock Audit · Skúšobný audit'!D28="",'01 · Gap Analysis · Analýza'!E35,('01 · Gap Analysis · Analýza'!E35+'02 · Mock Audit · Skúšobný audit'!D28)/2)))</f>
        <v/>
      </c>
      <c r="E7" s="28" t="n"/>
      <c r="F7" s="29" t="n"/>
    </row>
    <row r="8" ht="22" customHeight="1"/>
    <row r="9" ht="24" customHeight="1">
      <c r="A9" s="14" t="inlineStr">
        <is>
          <t>VERDICT — WILL I PASS? / VERDIKT — PREJDEM?</t>
        </is>
      </c>
    </row>
    <row r="10" ht="24" customHeight="1">
      <c r="A10" s="32">
        <f>IF(D6="","Complete Sheets 01 &amp; 02 to see your verdict / Vyplňte hárky 01 a 02",IF(D6&gt;=0.85,"🟢 LIKELY TO PASS — tidy the ambers, then book. / PRAVDEPODOBNE PREJDETE — doriešte oranžové a objednajte audit.",IF(D6&gt;=0.6,"🟠 AT RISK — close the red (HIGH) gaps before booking. / RIZIKO — pred objednaním uzavrite červené (kritické) medzery.","🔴 NOT READY — significant gaps; work through Sheet 04 first. / NEPRIPRAVENÍ — vážne medzery; najprv prejdite hárok 04.")))</f>
        <v/>
      </c>
    </row>
    <row r="11"/>
    <row r="12" ht="20" customHeight="1"/>
    <row r="13" ht="20" customHeight="1">
      <c r="A13" s="33" t="inlineStr">
        <is>
          <t>RAG BANDS / PÁSMA RAG</t>
        </is>
      </c>
    </row>
    <row r="14" ht="20" customHeight="1">
      <c r="A14" s="34" t="inlineStr">
        <is>
          <t>🟢 ≥ 85%</t>
        </is>
      </c>
      <c r="B14" s="35" t="inlineStr">
        <is>
          <t>Likely to pass — minor tidy-ups</t>
        </is>
      </c>
      <c r="C14" s="26" t="n"/>
      <c r="D14" s="26" t="n"/>
      <c r="E14" s="36" t="inlineStr">
        <is>
          <t>Pravdepodobne prejdete — drobné úpravy</t>
        </is>
      </c>
      <c r="F14" s="26" t="n"/>
    </row>
    <row r="15" ht="20" customHeight="1">
      <c r="A15" s="37" t="inlineStr">
        <is>
          <t>🟠 60–84%</t>
        </is>
      </c>
      <c r="B15" s="35" t="inlineStr">
        <is>
          <t>At risk — close HIGH gaps first</t>
        </is>
      </c>
      <c r="C15" s="26" t="n"/>
      <c r="D15" s="26" t="n"/>
      <c r="E15" s="36" t="inlineStr">
        <is>
          <t>Riziko — najprv kritické medzery</t>
        </is>
      </c>
      <c r="F15" s="26" t="n"/>
    </row>
    <row r="16">
      <c r="A16" s="38" t="inlineStr">
        <is>
          <t>🔴 &lt; 60%</t>
        </is>
      </c>
      <c r="B16" s="35" t="inlineStr">
        <is>
          <t>Not ready — significant work needed</t>
        </is>
      </c>
      <c r="C16" s="26" t="n"/>
      <c r="D16" s="26" t="n"/>
      <c r="E16" s="36" t="inlineStr">
        <is>
          <t>Nepripravení — vážna práca</t>
        </is>
      </c>
      <c r="F16" s="26" t="n"/>
    </row>
    <row r="17" ht="20" customHeight="1"/>
    <row r="18" ht="20" customHeight="1">
      <c r="A18" s="33" t="inlineStr">
        <is>
          <t>OPEN GAPS / OTVORENÉ MEDZERY</t>
        </is>
      </c>
    </row>
    <row r="19" ht="20" customHeight="1">
      <c r="A19" s="39" t="inlineStr">
        <is>
          <t>HIGH priority (Not in place) / kritické (chýba)</t>
        </is>
      </c>
      <c r="E19" s="40">
        <f>COUNTIF('01 · Gap Analysis · Analýza'!H9:H34,"HIGH")</f>
        <v/>
      </c>
    </row>
    <row r="20">
      <c r="A20" s="41" t="inlineStr">
        <is>
          <t>MEDIUM priority (Partial) / stredné (čiastočne)</t>
        </is>
      </c>
      <c r="E20" s="42">
        <f>COUNTIF('01 · Gap Analysis · Analýza'!H9:H34,"MEDIUM")</f>
        <v/>
      </c>
    </row>
    <row r="21" ht="20" customHeight="1"/>
    <row r="22">
      <c r="A22" s="33" t="inlineStr">
        <is>
          <t>SECTION BREAKDOWN / ROZPIS PO SEKCIÁCH</t>
        </is>
      </c>
    </row>
    <row r="23" ht="18" customHeight="1">
      <c r="A23" s="14" t="inlineStr">
        <is>
          <t>Section / Sekcia</t>
        </is>
      </c>
      <c r="B23" s="28" t="n"/>
      <c r="C23" s="28" t="n"/>
      <c r="D23" s="29" t="n"/>
      <c r="E23" s="14" t="inlineStr">
        <is>
          <t>Conf. % / Zhoda %</t>
        </is>
      </c>
      <c r="F23" s="29" t="n"/>
    </row>
    <row r="24" ht="18" customHeight="1">
      <c r="A24" s="35" t="inlineStr">
        <is>
          <t>4 · Context / Kontext</t>
        </is>
      </c>
      <c r="E24" s="43">
        <f>IFERROR(AVERAGEIFS('01 · Gap Analysis · Analýza'!E9:E34,'01 · Gap Analysis · Analýza'!A9:A34,"4 · Context / Kontext"),"—")</f>
        <v/>
      </c>
    </row>
    <row r="25" ht="18" customHeight="1">
      <c r="A25" s="35" t="inlineStr">
        <is>
          <t>5 · Leadership / Vedenie</t>
        </is>
      </c>
      <c r="E25" s="43">
        <f>IFERROR(AVERAGEIFS('01 · Gap Analysis · Analýza'!E9:E34,'01 · Gap Analysis · Analýza'!A9:A34,"5 · Leadership / Vedenie"),"—")</f>
        <v/>
      </c>
    </row>
    <row r="26" ht="18" customHeight="1">
      <c r="A26" s="35" t="inlineStr">
        <is>
          <t>6 · Planning / Plánovanie</t>
        </is>
      </c>
      <c r="E26" s="43">
        <f>IFERROR(AVERAGEIFS('01 · Gap Analysis · Analýza'!E9:E34,'01 · Gap Analysis · Analýza'!A9:A34,"6 · Planning / Plánovanie"),"—")</f>
        <v/>
      </c>
    </row>
    <row r="27" ht="18" customHeight="1">
      <c r="A27" s="35" t="inlineStr">
        <is>
          <t>7 · Support / Podpora</t>
        </is>
      </c>
      <c r="E27" s="43">
        <f>IFERROR(AVERAGEIFS('01 · Gap Analysis · Analýza'!E9:E34,'01 · Gap Analysis · Analýza'!A9:A34,"7 · Support / Podpora"),"—")</f>
        <v/>
      </c>
    </row>
    <row r="28" ht="18" customHeight="1">
      <c r="A28" s="35" t="inlineStr">
        <is>
          <t>8 · Operation / Prevádzka</t>
        </is>
      </c>
      <c r="E28" s="43">
        <f>IFERROR(AVERAGEIFS('01 · Gap Analysis · Analýza'!E9:E34,'01 · Gap Analysis · Analýza'!A9:A34,"8 · Operation / Prevádzka"),"—")</f>
        <v/>
      </c>
    </row>
    <row r="29" ht="18" customHeight="1">
      <c r="A29" s="35" t="inlineStr">
        <is>
          <t>8F · Food Safety / Bezpečnosť potravín</t>
        </is>
      </c>
      <c r="E29" s="43">
        <f>IFERROR(AVERAGEIFS('01 · Gap Analysis · Analýza'!E9:E34,'01 · Gap Analysis · Analýza'!A9:A34,"8F · Food Safety / Bezpečnosť potravín"),"—")</f>
        <v/>
      </c>
    </row>
    <row r="30" ht="18" customHeight="1">
      <c r="A30" s="35" t="inlineStr">
        <is>
          <t>9 · Performance / Hodnotenie</t>
        </is>
      </c>
      <c r="E30" s="43">
        <f>IFERROR(AVERAGEIFS('01 · Gap Analysis · Analýza'!E9:E34,'01 · Gap Analysis · Analýza'!A9:A34,"9 · Performance / Hodnotenie"),"—")</f>
        <v/>
      </c>
    </row>
    <row r="31">
      <c r="A31" s="35" t="inlineStr">
        <is>
          <t>10 · Improvement / Zlepšovanie</t>
        </is>
      </c>
      <c r="E31" s="43">
        <f>IFERROR(AVERAGEIFS('01 · Gap Analysis · Analýza'!E9:E34,'01 · Gap Analysis · Analýza'!A9:A34,"10 · Improvement / Zlepšovanie"),"—")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41">
    <mergeCell ref="A23:D23"/>
    <mergeCell ref="B14:D14"/>
    <mergeCell ref="A22:D22"/>
    <mergeCell ref="E24:F24"/>
    <mergeCell ref="A9:F10"/>
    <mergeCell ref="B13:D13"/>
    <mergeCell ref="E23:F23"/>
    <mergeCell ref="A29:D29"/>
    <mergeCell ref="A12:F12"/>
    <mergeCell ref="E14:F14"/>
    <mergeCell ref="A19:D19"/>
    <mergeCell ref="A21:F21"/>
    <mergeCell ref="A28:D28"/>
    <mergeCell ref="A2:F2"/>
    <mergeCell ref="A5:C5"/>
    <mergeCell ref="E29:F29"/>
    <mergeCell ref="D4:F4"/>
    <mergeCell ref="E19:F19"/>
    <mergeCell ref="A30:D30"/>
    <mergeCell ref="A8:F8"/>
    <mergeCell ref="E28:F28"/>
    <mergeCell ref="E13:F13"/>
    <mergeCell ref="A17:F17"/>
    <mergeCell ref="A24:D24"/>
    <mergeCell ref="B15:D15"/>
    <mergeCell ref="A4:C4"/>
    <mergeCell ref="E30:F30"/>
    <mergeCell ref="D5:F5"/>
    <mergeCell ref="E15:F15"/>
    <mergeCell ref="E27:F27"/>
    <mergeCell ref="A25:D25"/>
    <mergeCell ref="E26:F26"/>
    <mergeCell ref="A18:D18"/>
    <mergeCell ref="A27:D27"/>
    <mergeCell ref="E18:F18"/>
    <mergeCell ref="E25:F25"/>
    <mergeCell ref="A1:F1"/>
    <mergeCell ref="A26:D26"/>
    <mergeCell ref="A6:C6"/>
    <mergeCell ref="E22:F22"/>
    <mergeCell ref="D6:F6"/>
  </mergeCells>
  <conditionalFormatting sqref="E23">
    <cfRule type="cellIs" priority="1" operator="greaterThanOrEqual" dxfId="0">
      <formula>0.85</formula>
    </cfRule>
    <cfRule type="cellIs" priority="2" operator="lessThan" dxfId="1">
      <formula>0.6</formula>
    </cfRule>
    <cfRule type="cellIs" priority="3" operator="between" dxfId="2">
      <formula>0.6</formula>
      <formula>0.85</formula>
    </cfRule>
  </conditionalFormatting>
  <conditionalFormatting sqref="E24">
    <cfRule type="cellIs" priority="4" operator="greaterThanOrEqual" dxfId="0">
      <formula>0.85</formula>
    </cfRule>
    <cfRule type="cellIs" priority="5" operator="lessThan" dxfId="1">
      <formula>0.6</formula>
    </cfRule>
    <cfRule type="cellIs" priority="6" operator="between" dxfId="2">
      <formula>0.6</formula>
      <formula>0.85</formula>
    </cfRule>
  </conditionalFormatting>
  <conditionalFormatting sqref="E25">
    <cfRule type="cellIs" priority="7" operator="greaterThanOrEqual" dxfId="0">
      <formula>0.85</formula>
    </cfRule>
    <cfRule type="cellIs" priority="8" operator="lessThan" dxfId="1">
      <formula>0.6</formula>
    </cfRule>
    <cfRule type="cellIs" priority="9" operator="between" dxfId="2">
      <formula>0.6</formula>
      <formula>0.85</formula>
    </cfRule>
  </conditionalFormatting>
  <conditionalFormatting sqref="E26">
    <cfRule type="cellIs" priority="10" operator="greaterThanOrEqual" dxfId="0">
      <formula>0.85</formula>
    </cfRule>
    <cfRule type="cellIs" priority="11" operator="lessThan" dxfId="1">
      <formula>0.6</formula>
    </cfRule>
    <cfRule type="cellIs" priority="12" operator="between" dxfId="2">
      <formula>0.6</formula>
      <formula>0.85</formula>
    </cfRule>
  </conditionalFormatting>
  <conditionalFormatting sqref="E27">
    <cfRule type="cellIs" priority="13" operator="greaterThanOrEqual" dxfId="0">
      <formula>0.85</formula>
    </cfRule>
    <cfRule type="cellIs" priority="14" operator="lessThan" dxfId="1">
      <formula>0.6</formula>
    </cfRule>
    <cfRule type="cellIs" priority="15" operator="between" dxfId="2">
      <formula>0.6</formula>
      <formula>0.85</formula>
    </cfRule>
  </conditionalFormatting>
  <conditionalFormatting sqref="E28">
    <cfRule type="cellIs" priority="16" operator="greaterThanOrEqual" dxfId="0">
      <formula>0.85</formula>
    </cfRule>
    <cfRule type="cellIs" priority="17" operator="lessThan" dxfId="1">
      <formula>0.6</formula>
    </cfRule>
    <cfRule type="cellIs" priority="18" operator="between" dxfId="2">
      <formula>0.6</formula>
      <formula>0.85</formula>
    </cfRule>
  </conditionalFormatting>
  <conditionalFormatting sqref="E29">
    <cfRule type="cellIs" priority="19" operator="greaterThanOrEqual" dxfId="0">
      <formula>0.85</formula>
    </cfRule>
    <cfRule type="cellIs" priority="20" operator="lessThan" dxfId="1">
      <formula>0.6</formula>
    </cfRule>
    <cfRule type="cellIs" priority="21" operator="between" dxfId="2">
      <formula>0.6</formula>
      <formula>0.85</formula>
    </cfRule>
  </conditionalFormatting>
  <conditionalFormatting sqref="E30">
    <cfRule type="cellIs" priority="22" operator="greaterThanOrEqual" dxfId="0">
      <formula>0.85</formula>
    </cfRule>
    <cfRule type="cellIs" priority="23" operator="lessThan" dxfId="1">
      <formula>0.6</formula>
    </cfRule>
    <cfRule type="cellIs" priority="24" operator="between" dxfId="2">
      <formula>0.6</formula>
      <formula>0.85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44" customWidth="1" min="4" max="4"/>
  </cols>
  <sheetData>
    <row r="1" ht="22" customHeight="1">
      <c r="A1" s="1" t="inlineStr">
        <is>
          <t>DEMO — PREVIEW ONLY · enter your email to download the free editable file · ukážka — zadajte e-mail a stiahnite si bezplatný upraviteľný súbor</t>
        </is>
      </c>
    </row>
    <row r="2" ht="26" customHeight="1">
      <c r="A2" s="9" t="inlineStr">
        <is>
          <t>Next Steps — Close Your Gaps  |  Ďalšie kroky — vyriešte svoje medzery</t>
        </is>
      </c>
    </row>
    <row r="3" ht="32" customHeight="1">
      <c r="A3" s="10" t="inlineStr">
        <is>
          <t>Pick the readiness kit that matches your sector &amp; standard  ·  Vyberte balík pripravenosti podľa vášho odvetvia a normy</t>
        </is>
      </c>
    </row>
    <row r="4">
      <c r="A4" s="13" t="inlineStr">
        <is>
          <t>ℹ  This free tool finds the gaps. The matching paid kit gives you the ready-made templates, logs and procedures to close them — built once, audit-ready. Prices indicative; see the listing.
    Tento bezplatný nástroj nájde medzery. Príslušný platený balík vám dá hotové šablóny, záznamy a postupy na ich vyriešenie — pripravené na audit. Ceny orientačné; pozri ponuku.</t>
        </is>
      </c>
    </row>
    <row r="5" ht="34" customHeight="1"/>
    <row r="6" ht="46" customHeight="1">
      <c r="A6" s="14" t="inlineStr">
        <is>
          <t>Your sector / standard
Vaše odvetvie / norma</t>
        </is>
      </c>
      <c r="B6" s="14" t="inlineStr">
        <is>
          <t>Recommended kit
Odporúčaný balík</t>
        </is>
      </c>
      <c r="C6" s="14" t="inlineStr">
        <is>
          <t>From €
Od €</t>
        </is>
      </c>
      <c r="D6" s="14" t="inlineStr">
        <is>
          <t>What it closes
Čo vyrieši</t>
        </is>
      </c>
    </row>
    <row r="7" ht="46" customHeight="1">
      <c r="A7" s="44" t="inlineStr">
        <is>
          <t>Café · restaurant · bar · B&amp;B · hotel
HACCP · 852/2004 · 1169/2011</t>
        </is>
      </c>
      <c r="B7" s="45" t="inlineStr">
        <is>
          <t>P14 — HACCP Readiness Pack
(Cafés &amp; Restaurants)</t>
        </is>
      </c>
      <c r="C7" s="46" t="inlineStr">
        <is>
          <t>49</t>
        </is>
      </c>
      <c r="D7" s="47" t="inlineStr">
        <is>
          <t>HACCP plan, CCP/PRP logs, allergen matrix, traceability, training, CAPA</t>
        </is>
      </c>
    </row>
    <row r="8" ht="46" customHeight="1">
      <c r="A8" s="48" t="inlineStr">
        <is>
          <t>Food manufacturing (GFSI)
ISO 22000 · FSSC 22000 v7</t>
        </is>
      </c>
      <c r="B8" s="49" t="inlineStr">
        <is>
          <t>P15 — ISO 22000 / FSSC 22000
Food Safety Management Kit</t>
        </is>
      </c>
      <c r="C8" s="46" t="inlineStr">
        <is>
          <t>99</t>
        </is>
      </c>
      <c r="D8" s="50" t="inlineStr">
        <is>
          <t>Full FSMS spine: doc-control, internal audit, mgmt review, CAPA, calibration</t>
        </is>
      </c>
    </row>
    <row r="9" ht="46" customHeight="1">
      <c r="A9" s="44" t="inlineStr">
        <is>
          <t>Food manufacturing
BRCGS · IFS Food</t>
        </is>
      </c>
      <c r="B9" s="45" t="inlineStr">
        <is>
          <t>P16 — BRCGS / IFS Document-Control
&amp; Audit-Readiness Suite</t>
        </is>
      </c>
      <c r="C9" s="46" t="inlineStr">
        <is>
          <t>89</t>
        </is>
      </c>
      <c r="D9" s="47" t="inlineStr">
        <is>
          <t>Master document list, supplier approval, internal audit — the #1 NC area</t>
        </is>
      </c>
    </row>
    <row r="10" ht="46" customHeight="1">
      <c r="A10" s="48" t="inlineStr">
        <is>
          <t>Non-food manufacturing
ISO 9001</t>
        </is>
      </c>
      <c r="B10" s="49" t="inlineStr">
        <is>
          <t>P17 — ISO 9001 Quality-Management
Audit-Readiness Pack</t>
        </is>
      </c>
      <c r="C10" s="46" t="inlineStr">
        <is>
          <t>79</t>
        </is>
      </c>
      <c r="D10" s="50" t="inlineStr">
        <is>
          <t>ISO 9001 clause 4–10 spine for B2B customer-required certification</t>
        </is>
      </c>
    </row>
    <row r="11">
      <c r="A11" s="44" t="inlineStr">
        <is>
          <t>Already certified FSSC v6
upgrade to v7 by Apr 2028</t>
        </is>
      </c>
      <c r="B11" s="45" t="inlineStr">
        <is>
          <t>P18 — FSSC 22000 V7
Transition Pack</t>
        </is>
      </c>
      <c r="C11" s="46" t="inlineStr">
        <is>
          <t>49</t>
        </is>
      </c>
      <c r="D11" s="47" t="inlineStr">
        <is>
          <t>v6→v7 delta gap-analysis, internal audit &amp; management-review updates</t>
        </is>
      </c>
    </row>
    <row r="12" ht="26" customHeight="1"/>
    <row r="13">
      <c r="A13" s="51" t="inlineStr">
        <is>
          <t>Auditors &amp; consultants / Audítori a konzultanti → P19 Auditor Edition · P20 Multi-Client Console (from €149)</t>
        </is>
      </c>
    </row>
    <row r="14" ht="28" customHeight="1"/>
    <row r="15">
      <c r="A15" s="8" t="inlineStr">
        <is>
          <t>Positioning: audit-ready packs that satisfy a TÜV-style certifier auditing you to ISO / HACCP / BRCGS / IFS — not 'TÜV templates'. · Balíky pripravené na audit certifikačným orgánom (štýl TÜV) podľa ISO / HACCP / BRCGS / IFS.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5">
    <mergeCell ref="A1:D1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Compliance Gap-Analysis &amp; Mock-Audit (Lite) — DEMO (EN/SK)</dc:title>
  <dc:subject>Free compliance readiness check — generic ISO/HACCP/BRCGS/IFS/FSSC spine; gap-analysis + mock-audit + readiness verdict</dc:subject>
  <dcterms:created xsi:type="dcterms:W3CDTF">2026-05-30T21:18:29Z</dcterms:created>
  <dcterms:modified xsi:type="dcterms:W3CDTF">2026-05-30T21:18:29Z</dcterms:modified>
</cp:coreProperties>
</file>