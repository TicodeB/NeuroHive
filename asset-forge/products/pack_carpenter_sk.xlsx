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zákazku" sheetId="5" state="visible" r:id="rId5"/>
    <sheet name="05 · Zmeny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A1A0E"/>
      <sz val="22"/>
    </font>
    <font>
      <name val="Calibri"/>
      <color rgb="006B7280"/>
      <sz val="11"/>
    </font>
    <font>
      <name val="Calibri"/>
      <b val="1"/>
      <color rgb="006B4423"/>
      <sz val="10.5"/>
    </font>
    <font>
      <name val="Calibri"/>
      <color rgb="006B7280"/>
      <sz val="10"/>
    </font>
    <font>
      <name val="Calibri"/>
      <color rgb="002A1A0E"/>
      <sz val="10"/>
    </font>
    <font>
      <name val="Calibri"/>
      <i val="1"/>
      <color rgb="002A1A0E"/>
      <sz val="9.5"/>
    </font>
    <font>
      <name val="Calibri"/>
      <i val="1"/>
      <color rgb="009AA3B0"/>
      <sz val="8"/>
    </font>
    <font>
      <name val="Calibri"/>
      <b val="1"/>
      <color rgb="002A1A0E"/>
      <sz val="10"/>
    </font>
    <font>
      <name val="Calibri"/>
      <b val="1"/>
      <color rgb="006B4423"/>
      <sz val="11"/>
    </font>
    <font>
      <name val="Calibri"/>
      <b val="1"/>
      <color rgb="00FFFFFF"/>
      <sz val="10"/>
    </font>
    <font>
      <name val="Calibri"/>
      <color rgb="002A1A0E"/>
      <sz val="9.5"/>
    </font>
    <font>
      <name val="Calibri"/>
      <b val="1"/>
      <color rgb="006B7280"/>
      <sz val="9.5"/>
    </font>
    <font>
      <name val="Calibri"/>
      <b val="1"/>
      <color rgb="006B4423"/>
      <sz val="9.5"/>
    </font>
    <font>
      <name val="Calibri"/>
      <b val="1"/>
      <color rgb="002A1A0E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6B4423"/>
      <sz val="20"/>
    </font>
    <font>
      <name val="Calibri"/>
      <b val="1"/>
      <color rgb="008AA63C"/>
      <sz val="20"/>
    </font>
    <font>
      <name val="Calibri"/>
      <b val="1"/>
      <color rgb="002A1A0E"/>
      <sz val="20"/>
    </font>
    <font>
      <name val="Calibri"/>
      <color rgb="002A1A0E"/>
      <sz val="10.5"/>
    </font>
  </fonts>
  <fills count="10">
    <fill>
      <patternFill/>
    </fill>
    <fill>
      <patternFill patternType="gray125"/>
    </fill>
    <fill>
      <patternFill patternType="solid">
        <fgColor rgb="008AA63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6B4423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A1A0E"/>
      </patternFill>
    </fill>
  </fills>
  <borders count="13">
    <border>
      <left/>
      <right/>
      <top/>
      <bottom/>
      <diagonal/>
    </border>
    <border>
      <bottom style="thin">
        <color rgb="006B4423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8AA63C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4" TargetMode="External" Id="rId1" /><Relationship Type="http://schemas.openxmlformats.org/officeDocument/2006/relationships/hyperlink" Target="#'03 &#183; Cash flow'!O19" TargetMode="External" Id="rId2" /><Relationship Type="http://schemas.openxmlformats.org/officeDocument/2006/relationships/hyperlink" Target="#'03 &#183; Cash flow'!O27" TargetMode="External" Id="rId3" /><Relationship Type="http://schemas.openxmlformats.org/officeDocument/2006/relationships/hyperlink" Target="#'03 &#183; Cash flow'!Q14" TargetMode="External" Id="rId4" /><Relationship Type="http://schemas.openxmlformats.org/officeDocument/2006/relationships/hyperlink" Target="#'03 &#183; Cash flow'!N30" TargetMode="External" Id="rId5" /><Relationship Type="http://schemas.openxmlformats.org/officeDocument/2006/relationships/hyperlink" Target="#'04 &#183; Mar&#382;a na z&#225;kazku'!H30" TargetMode="External" Id="rId6" /><Relationship Type="http://schemas.openxmlformats.org/officeDocument/2006/relationships/hyperlink" Target="#'05 &#183; Zmeny'!I31" TargetMode="External" Id="rId7" /></Relationships>
</file>

<file path=xl/worksheets/sheet1.xml><?xml version="1.0" encoding="utf-8"?>
<worksheet xmlns="http://schemas.openxmlformats.org/spreadsheetml/2006/main">
  <sheetPr>
    <tabColor rgb="002A1A0E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Stolár / tesár</t>
        </is>
      </c>
    </row>
    <row r="2" ht="20" customHeight="1">
      <c r="B2" s="2" t="inlineStr">
        <is>
          <t>Balík, ktorý ustráži maržu na zákazku, materiál vs práca a rozpracovanosť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zákazku</t>
        </is>
      </c>
      <c r="C7" s="7" t="inlineStr">
        <is>
          <t>Náklad materiálu a práce na zákazku a marža</t>
        </is>
      </c>
    </row>
    <row r="8" ht="20" customHeight="1">
      <c r="B8" s="6" t="inlineStr">
        <is>
          <t xml:space="preserve">  Zmeny</t>
        </is>
      </c>
      <c r="C8" s="7" t="inlineStr">
        <is>
          <t>Zmeny a podiel mzdových nákladov</t>
        </is>
      </c>
    </row>
    <row r="9" ht="20" customHeight="1">
      <c r="B9" s="6" t="inlineStr">
        <is>
          <t xml:space="preserve">  Tržby</t>
        </is>
      </c>
      <c r="C9" s="7" t="inlineStr">
        <is>
          <t>Faktúry zákaziek a úhrady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materiál a náradie na zákazky dňa</t>
        </is>
      </c>
    </row>
    <row r="14" ht="22" customHeight="1">
      <c r="B14" s="8" t="inlineStr">
        <is>
          <t>•  V DIELNI / NA STAVBE: výroba a montáž podľa zákazky</t>
        </is>
      </c>
    </row>
    <row r="15" ht="22" customHeight="1">
      <c r="B15" s="8" t="inlineStr">
        <is>
          <t>•  PO PRÁCI: súpis prác, odovzdanie, fotodokumentácia</t>
        </is>
      </c>
    </row>
    <row r="16" ht="22" customHeight="1">
      <c r="B16" s="8" t="inlineStr">
        <is>
          <t>•  TÝŽDENNE: marža na zákazku + stav rozpracovanosti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A63C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náradie, materiál a vozidlo pripravené</t>
        </is>
      </c>
      <c r="C33" s="21" t="n"/>
      <c r="D33" s="21" t="n"/>
      <c r="E33" s="18" t="n"/>
    </row>
    <row r="34" ht="19" customHeight="1">
      <c r="B34" s="22" t="inlineStr">
        <is>
          <t xml:space="preserve">  Otvorenie: zákazky a zameranie na dnes potvrdené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odpracované hodiny a materiál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vystavené faktúry a zálohy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dielňa a stroje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4423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flow'!O14,0)</f>
        <v/>
      </c>
      <c r="D7" s="29" t="n"/>
      <c r="F7" s="31">
        <f>IFERROR('03 · Cash flow'!O19,0)</f>
        <v/>
      </c>
      <c r="H7" s="29" t="n"/>
      <c r="J7" s="32">
        <f>IFERROR('03 · Cash flow'!O27,0)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NA ZÁKAZKU  ↗</t>
        </is>
      </c>
      <c r="L11" s="29" t="n"/>
    </row>
    <row r="12" ht="22" customHeight="1">
      <c r="B12" s="30">
        <f>IFERROR('03 · Cash flow'!Q14,0)</f>
        <v/>
      </c>
      <c r="D12" s="29" t="n"/>
      <c r="F12" s="31">
        <f>IFERROR('03 · Cash flow'!N30,0)</f>
        <v/>
      </c>
      <c r="H12" s="29" t="n"/>
      <c r="J12" s="36">
        <f>IFERROR('04 · Marža na zákazku'!H30,0)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IFERROR('05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flow'!P14="","Tržby vs plán: zadajte ročný plán v hárku Cash flow.","Tržby vs plán: "&amp;TEXT('03 · Cash flow'!Q14,"#,##0 €")&amp;" ("&amp;TEXT('03 · Cash flow'!R14,"+0.0%;-0.0%")&amp;") — "&amp;IF('03 · Cash flow'!R14&gt;=0,"NAD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flow'!O27/'03 · Cash flow'!O14,"0.0%")&amp;IF('03 · Cash flow'!O27/'03 · Cash flow'!O14&gt;=0.1,"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"&amp;TEXT('05 · Zmeny'!I31,"0.0%")&amp;IF('05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na zákazku'!H31,"0")&amp;".","Marža: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"&amp;TEXT('06 · Tržby'!H40,"#,##0.00 €")&amp;IF(ABS('06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/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4423"/>
    <outlinePr summaryBelow="1" summaryRight="1"/>
    <pageSetUpPr/>
  </sheetPr>
  <dimension ref="A1:R3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8.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výroba nábytku na mieru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montáž (dvere, okná, kuchyne)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opravy a renovácie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materiál (preúčtovaný)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45" t="inlineStr">
        <is>
          <t>Tržby spolu</t>
        </is>
      </c>
      <c r="C14" s="43">
        <f>SUM(C10:C13)</f>
        <v/>
      </c>
      <c r="D14" s="43">
        <f>SUM(D10:D13)</f>
        <v/>
      </c>
      <c r="E14" s="43">
        <f>SUM(E10:E13)</f>
        <v/>
      </c>
      <c r="F14" s="43">
        <f>SUM(F10:F13)</f>
        <v/>
      </c>
      <c r="G14" s="43">
        <f>SUM(G10:G13)</f>
        <v/>
      </c>
      <c r="H14" s="43">
        <f>SUM(H10:H13)</f>
        <v/>
      </c>
      <c r="I14" s="43">
        <f>SUM(I10:I13)</f>
        <v/>
      </c>
      <c r="J14" s="43">
        <f>SUM(J10:J13)</f>
        <v/>
      </c>
      <c r="K14" s="43">
        <f>SUM(K10:K13)</f>
        <v/>
      </c>
      <c r="L14" s="43">
        <f>SUM(L10:L13)</f>
        <v/>
      </c>
      <c r="M14" s="43">
        <f>SUM(M10:M13)</f>
        <v/>
      </c>
      <c r="N14" s="43">
        <f>SUM(N10:N13)</f>
        <v/>
      </c>
      <c r="O14" s="42">
        <f>SUM(C14:N14)</f>
        <v/>
      </c>
      <c r="P14" s="42">
        <f>SUM(P10:P13)</f>
        <v/>
      </c>
      <c r="Q14" s="42">
        <f>IF(OR(O14="",P14=""),"",O14-P14)</f>
        <v/>
      </c>
      <c r="R14" s="46">
        <f>IF(OR(P14="",P14=0,O14=""),"",(O14-P14)/P14)</f>
        <v/>
      </c>
    </row>
    <row r="15" ht="18" customHeight="1">
      <c r="B15" s="40" t="inlineStr">
        <is>
          <t>NÁKLADY NA PREDAJ</t>
        </is>
      </c>
    </row>
    <row r="16" ht="16" customHeight="1">
      <c r="B16" s="20" t="inlineStr">
        <is>
          <t>Materiál (drevo, kovanie, lamino, lak)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20" t="inlineStr">
        <is>
          <t>Subdodávky a prenájom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45" t="inlineStr">
        <is>
          <t>Náklady spolu</t>
        </is>
      </c>
      <c r="C18" s="43">
        <f>SUM(C16:C17)</f>
        <v/>
      </c>
      <c r="D18" s="43">
        <f>SUM(D16:D17)</f>
        <v/>
      </c>
      <c r="E18" s="43">
        <f>SUM(E16:E17)</f>
        <v/>
      </c>
      <c r="F18" s="43">
        <f>SUM(F16:F17)</f>
        <v/>
      </c>
      <c r="G18" s="43">
        <f>SUM(G16:G17)</f>
        <v/>
      </c>
      <c r="H18" s="43">
        <f>SUM(H16:H17)</f>
        <v/>
      </c>
      <c r="I18" s="43">
        <f>SUM(I16:I17)</f>
        <v/>
      </c>
      <c r="J18" s="43">
        <f>SUM(J16:J17)</f>
        <v/>
      </c>
      <c r="K18" s="43">
        <f>SUM(K16:K17)</f>
        <v/>
      </c>
      <c r="L18" s="43">
        <f>SUM(L16:L17)</f>
        <v/>
      </c>
      <c r="M18" s="43">
        <f>SUM(M16:M17)</f>
        <v/>
      </c>
      <c r="N18" s="43">
        <f>SUM(N16:N17)</f>
        <v/>
      </c>
      <c r="O18" s="42">
        <f>SUM(C18:N18)</f>
        <v/>
      </c>
      <c r="P18" s="42">
        <f>SUM(P16:P17)</f>
        <v/>
      </c>
      <c r="Q18" s="42">
        <f>IF(OR(O18="",P18=""),"",O18-P18)</f>
        <v/>
      </c>
      <c r="R18" s="46">
        <f>IF(OR(P18="",P18=0,O18=""),"",(O18-P18)/P18)</f>
        <v/>
      </c>
    </row>
    <row r="19" ht="16" customHeight="1">
      <c r="B19" s="45" t="inlineStr">
        <is>
          <t>HRUBÁ MARŽA</t>
        </is>
      </c>
      <c r="C19" s="43">
        <f>C14-C18</f>
        <v/>
      </c>
      <c r="D19" s="43">
        <f>D14-D18</f>
        <v/>
      </c>
      <c r="E19" s="43">
        <f>E14-E18</f>
        <v/>
      </c>
      <c r="F19" s="43">
        <f>F14-F18</f>
        <v/>
      </c>
      <c r="G19" s="43">
        <f>G14-G18</f>
        <v/>
      </c>
      <c r="H19" s="43">
        <f>H14-H18</f>
        <v/>
      </c>
      <c r="I19" s="43">
        <f>I14-I18</f>
        <v/>
      </c>
      <c r="J19" s="43">
        <f>J14-J18</f>
        <v/>
      </c>
      <c r="K19" s="43">
        <f>K14-K18</f>
        <v/>
      </c>
      <c r="L19" s="43">
        <f>L14-L18</f>
        <v/>
      </c>
      <c r="M19" s="43">
        <f>M14-M18</f>
        <v/>
      </c>
      <c r="N19" s="43">
        <f>N14-N18</f>
        <v/>
      </c>
      <c r="O19" s="42">
        <f>SUM(C19:N19)</f>
        <v/>
      </c>
      <c r="P19" s="42">
        <f>P14-P18</f>
        <v/>
      </c>
      <c r="Q19" s="42">
        <f>IF(OR(O19="",P19=""),"",O19-P19)</f>
        <v/>
      </c>
      <c r="R19" s="46">
        <f>IF(OR(P19="",P19=0,O19=""),"",(O19-P19)/P19)</f>
        <v/>
      </c>
    </row>
    <row r="20" ht="18" customHeight="1">
      <c r="B20" s="40" t="inlineStr">
        <is>
          <t>RÉŽIE</t>
        </is>
      </c>
    </row>
    <row r="21" ht="16" customHeight="1">
      <c r="B21" s="20" t="inlineStr">
        <is>
          <t>Mzdy a personál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Dielňa — nájom a energie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Vozidlá a pohonné hmoty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Náradie a stroje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Ostatné réžie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45" t="inlineStr">
        <is>
          <t>Réžie spolu</t>
        </is>
      </c>
      <c r="C26" s="43">
        <f>SUM(C21:C25)</f>
        <v/>
      </c>
      <c r="D26" s="43">
        <f>SUM(D21:D25)</f>
        <v/>
      </c>
      <c r="E26" s="43">
        <f>SUM(E21:E25)</f>
        <v/>
      </c>
      <c r="F26" s="43">
        <f>SUM(F21:F25)</f>
        <v/>
      </c>
      <c r="G26" s="43">
        <f>SUM(G21:G25)</f>
        <v/>
      </c>
      <c r="H26" s="43">
        <f>SUM(H21:H25)</f>
        <v/>
      </c>
      <c r="I26" s="43">
        <f>SUM(I21:I25)</f>
        <v/>
      </c>
      <c r="J26" s="43">
        <f>SUM(J21:J25)</f>
        <v/>
      </c>
      <c r="K26" s="43">
        <f>SUM(K21:K25)</f>
        <v/>
      </c>
      <c r="L26" s="43">
        <f>SUM(L21:L25)</f>
        <v/>
      </c>
      <c r="M26" s="43">
        <f>SUM(M21:M25)</f>
        <v/>
      </c>
      <c r="N26" s="43">
        <f>SUM(N21:N25)</f>
        <v/>
      </c>
      <c r="O26" s="42">
        <f>SUM(C26:N26)</f>
        <v/>
      </c>
      <c r="P26" s="42">
        <f>SUM(P21:P25)</f>
        <v/>
      </c>
      <c r="Q26" s="42">
        <f>IF(OR(O26="",P26=""),"",O26-P26)</f>
        <v/>
      </c>
      <c r="R26" s="46">
        <f>IF(OR(P26="",P26=0,O26=""),"",(O26-P26)/P26)</f>
        <v/>
      </c>
    </row>
    <row r="27" ht="16" customHeight="1">
      <c r="B27" s="45" t="inlineStr">
        <is>
          <t>ČISTÝ ZISK</t>
        </is>
      </c>
      <c r="C27" s="43">
        <f>C19-C26</f>
        <v/>
      </c>
      <c r="D27" s="43">
        <f>D19-D26</f>
        <v/>
      </c>
      <c r="E27" s="43">
        <f>E19-E26</f>
        <v/>
      </c>
      <c r="F27" s="43">
        <f>F19-F26</f>
        <v/>
      </c>
      <c r="G27" s="43">
        <f>G19-G26</f>
        <v/>
      </c>
      <c r="H27" s="43">
        <f>H19-H26</f>
        <v/>
      </c>
      <c r="I27" s="43">
        <f>I19-I26</f>
        <v/>
      </c>
      <c r="J27" s="43">
        <f>J19-J26</f>
        <v/>
      </c>
      <c r="K27" s="43">
        <f>K19-K26</f>
        <v/>
      </c>
      <c r="L27" s="43">
        <f>L19-L26</f>
        <v/>
      </c>
      <c r="M27" s="43">
        <f>M19-M26</f>
        <v/>
      </c>
      <c r="N27" s="43">
        <f>N19-N26</f>
        <v/>
      </c>
      <c r="O27" s="42">
        <f>SUM(C27:N27)</f>
        <v/>
      </c>
      <c r="P27" s="42">
        <f>P19-P26</f>
        <v/>
      </c>
      <c r="Q27" s="42">
        <f>IF(OR(O27="",P27=""),"",O27-P27)</f>
        <v/>
      </c>
      <c r="R27" s="46">
        <f>IF(OR(P27="",P27=0,O27=""),"",(O27-P27)/P27)</f>
        <v/>
      </c>
    </row>
    <row r="28" ht="18" customHeight="1">
      <c r="B28" s="40" t="inlineStr">
        <is>
          <t>HOTOVOSŤ</t>
        </is>
      </c>
    </row>
    <row r="29">
      <c r="B29" s="20" t="inlineStr">
        <is>
          <t>Počiatočná hotovosť</t>
        </is>
      </c>
      <c r="C29" s="41" t="n"/>
      <c r="D29" s="43">
        <f>C30</f>
        <v/>
      </c>
      <c r="E29" s="43">
        <f>D30</f>
        <v/>
      </c>
      <c r="F29" s="43">
        <f>E30</f>
        <v/>
      </c>
      <c r="G29" s="43">
        <f>F30</f>
        <v/>
      </c>
      <c r="H29" s="43">
        <f>G30</f>
        <v/>
      </c>
      <c r="I29" s="43">
        <f>H30</f>
        <v/>
      </c>
      <c r="J29" s="43">
        <f>I30</f>
        <v/>
      </c>
      <c r="K29" s="43">
        <f>J30</f>
        <v/>
      </c>
      <c r="L29" s="43">
        <f>K30</f>
        <v/>
      </c>
      <c r="M29" s="43">
        <f>L30</f>
        <v/>
      </c>
      <c r="N29" s="43">
        <f>M30</f>
        <v/>
      </c>
      <c r="O29" s="43">
        <f>C29</f>
        <v/>
      </c>
    </row>
    <row r="30">
      <c r="B30" s="45" t="inlineStr">
        <is>
          <t>Koncová hotovosť</t>
        </is>
      </c>
      <c r="C30" s="42">
        <f>C29+C27</f>
        <v/>
      </c>
      <c r="D30" s="42">
        <f>D29+D27</f>
        <v/>
      </c>
      <c r="E30" s="42">
        <f>E29+E27</f>
        <v/>
      </c>
      <c r="F30" s="42">
        <f>F29+F27</f>
        <v/>
      </c>
      <c r="G30" s="42">
        <f>G29+G27</f>
        <v/>
      </c>
      <c r="H30" s="42">
        <f>H29+H27</f>
        <v/>
      </c>
      <c r="I30" s="42">
        <f>I29+I27</f>
        <v/>
      </c>
      <c r="J30" s="42">
        <f>J29+J27</f>
        <v/>
      </c>
      <c r="K30" s="42">
        <f>K29+K27</f>
        <v/>
      </c>
      <c r="L30" s="42">
        <f>L29+L27</f>
        <v/>
      </c>
      <c r="M30" s="42">
        <f>M29+M27</f>
        <v/>
      </c>
      <c r="N30" s="42">
        <f>N29+N27</f>
        <v/>
      </c>
      <c r="O30" s="42">
        <f>N30</f>
        <v/>
      </c>
    </row>
  </sheetData>
  <mergeCells count="8">
    <mergeCell ref="B9:R9"/>
    <mergeCell ref="C5:E5"/>
    <mergeCell ref="B15:R15"/>
    <mergeCell ref="B7:R7"/>
    <mergeCell ref="B2:R2"/>
    <mergeCell ref="B20:R20"/>
    <mergeCell ref="B28:R28"/>
    <mergeCell ref="B1:R1"/>
  </mergeCells>
  <conditionalFormatting sqref="Q14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9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7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0:N30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AA63C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zákazku</t>
        </is>
      </c>
    </row>
    <row r="2" ht="20" customHeight="1">
      <c r="B2" s="2" t="inlineStr">
        <is>
          <t>Náklad materiálu a práce na zákazku a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Zákazka / 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Kuchyňa na mieru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Vstavaná skriňa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Interiérové dvere (montáž)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Drevené schodisko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Pracovná doska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Renovácia nábytku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A63C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~35 % tržieb.</t>
        </is>
      </c>
    </row>
    <row r="9" ht="30" customHeight="1">
      <c r="B9" s="15" t="inlineStr">
        <is>
          <t>Pozícia (stolár / pomocník)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4423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Faktúry zákaziek a úhrady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Faktúry zákaziek · zálohy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1A0E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7.1" customWidth="1" min="5" max="5"/>
    <col width="13" customWidth="1" min="6" max="6"/>
    <col width="13.2" customWidth="1" min="7" max="7"/>
    <col width="14.2" customWidth="1" min="8" max="8"/>
    <col width="15.1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Bezpečná obsluha drevoobrábacích strojov (píly, frézy)</t>
        </is>
      </c>
      <c r="F7" s="15" t="inlineStr">
        <is>
          <t>Práca vo výškach (montáž)</t>
        </is>
      </c>
      <c r="G7" s="15" t="inlineStr">
        <is>
          <t>Manipulácia s bremenami</t>
        </is>
      </c>
      <c r="H7" s="15" t="inlineStr">
        <is>
          <t>Práca s chemikáliami (laky, lepidlá)</t>
        </is>
      </c>
      <c r="I7" s="15" t="inlineStr">
        <is>
          <t>Protipožiarna ochrana (drevný prach)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61" t="n"/>
      <c r="K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61" t="n"/>
      <c r="K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61" t="n"/>
      <c r="K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61" t="n"/>
      <c r="K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61" t="n"/>
      <c r="K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61" t="n"/>
      <c r="K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61" t="n"/>
      <c r="K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61" t="n"/>
      <c r="K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61" t="n"/>
      <c r="K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61" t="n"/>
      <c r="K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61" t="n"/>
      <c r="K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61" t="n"/>
      <c r="K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61" t="n"/>
      <c r="K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Stolár / tesár (SK)</dc:title>
  <dcterms:created xsi:type="dcterms:W3CDTF">2026-05-31T20:10:21Z</dcterms:created>
  <dcterms:modified xsi:type="dcterms:W3CDTF">2026-05-31T20:10:22Z</dcterms:modified>
</cp:coreProperties>
</file>