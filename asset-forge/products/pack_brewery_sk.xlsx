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hl" sheetId="5" state="visible" r:id="rId5"/>
    <sheet name="05 · Sklad a odpis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41405"/>
      <sz val="22"/>
    </font>
    <font>
      <name val="Calibri"/>
      <color rgb="006B7280"/>
      <sz val="11"/>
    </font>
    <font>
      <name val="Calibri"/>
      <b val="1"/>
      <color rgb="00A6531C"/>
      <sz val="10.5"/>
    </font>
    <font>
      <name val="Calibri"/>
      <color rgb="006B7280"/>
      <sz val="10"/>
    </font>
    <font>
      <name val="Calibri"/>
      <color rgb="00241405"/>
      <sz val="10"/>
    </font>
    <font>
      <name val="Calibri"/>
      <i val="1"/>
      <color rgb="00241405"/>
      <sz val="9.5"/>
    </font>
    <font>
      <name val="Calibri"/>
      <i val="1"/>
      <color rgb="009AA3B0"/>
      <sz val="8"/>
    </font>
    <font>
      <name val="Calibri"/>
      <b val="1"/>
      <color rgb="00241405"/>
      <sz val="10"/>
    </font>
    <font>
      <name val="Calibri"/>
      <b val="1"/>
      <color rgb="00A6531C"/>
      <sz val="11"/>
    </font>
    <font>
      <name val="Calibri"/>
      <b val="1"/>
      <color rgb="00FFFFFF"/>
      <sz val="10"/>
    </font>
    <font>
      <name val="Calibri"/>
      <color rgb="00241405"/>
      <sz val="9.5"/>
    </font>
    <font>
      <name val="Calibri"/>
      <b val="1"/>
      <color rgb="006B7280"/>
      <sz val="9.5"/>
    </font>
    <font>
      <name val="Calibri"/>
      <b val="1"/>
      <color rgb="00A6531C"/>
      <sz val="9.5"/>
    </font>
    <font>
      <name val="Calibri"/>
      <b val="1"/>
      <color rgb="00241405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A6531C"/>
      <sz val="20"/>
    </font>
    <font>
      <name val="Calibri"/>
      <b val="1"/>
      <color rgb="00E3B23C"/>
      <sz val="20"/>
    </font>
    <font>
      <name val="Calibri"/>
      <b val="1"/>
      <color rgb="00241405"/>
      <sz val="20"/>
    </font>
    <font>
      <name val="Calibri"/>
      <color rgb="00241405"/>
      <sz val="10.5"/>
    </font>
  </fonts>
  <fills count="10">
    <fill>
      <patternFill/>
    </fill>
    <fill>
      <patternFill patternType="gray125"/>
    </fill>
    <fill>
      <patternFill patternType="solid">
        <fgColor rgb="00E3B23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A6531C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41405"/>
      </patternFill>
    </fill>
  </fills>
  <borders count="13">
    <border>
      <left/>
      <right/>
      <top/>
      <bottom/>
      <diagonal/>
    </border>
    <border>
      <bottom style="thin">
        <color rgb="00A6531C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E3B23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Q14" TargetMode="External" Id="rId4" /><Relationship Type="http://schemas.openxmlformats.org/officeDocument/2006/relationships/hyperlink" Target="#'03 &#183; Cash flow'!N30" TargetMode="External" Id="rId5" /><Relationship Type="http://schemas.openxmlformats.org/officeDocument/2006/relationships/hyperlink" Target="#'04 &#183; Mar&#382;a na hl'!H30" TargetMode="External" Id="rId6" /><Relationship Type="http://schemas.openxmlformats.org/officeDocument/2006/relationships/hyperlink" Target="#'05 &#183; Sklad a odpis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241405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Pivovar / remeselné pivo</t>
        </is>
      </c>
    </row>
    <row r="2" ht="20" customHeight="1">
      <c r="B2" s="2" t="inlineStr">
        <is>
          <t>Balík, ktorý ustráži výrobu várok, maržu na hl a odpis znehodnoteného piva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hl</t>
        </is>
      </c>
      <c r="C7" s="7" t="inlineStr">
        <is>
          <t>Náklad na hektoliter / 0,5 l a marža druhu piva</t>
        </is>
      </c>
    </row>
    <row r="8" ht="20" customHeight="1">
      <c r="B8" s="6" t="inlineStr">
        <is>
          <t xml:space="preserve">  Sklad a odpis</t>
        </is>
      </c>
      <c r="C8" s="7" t="inlineStr">
        <is>
          <t>Spotreba surovín a hodnota odpisu znehodnotených šarží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Tržby výčapu a veľkoobchodu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kontrola várky a kvasenia</t>
        </is>
      </c>
    </row>
    <row r="15" ht="22" customHeight="1">
      <c r="B15" s="8" t="inlineStr">
        <is>
          <t>•  VÝROBA: rmutovanie, chmeľovar, stáčanie podľa receptúry</t>
        </is>
      </c>
    </row>
    <row r="16" ht="22" customHeight="1">
      <c r="B16" s="8" t="inlineStr">
        <is>
          <t>•  POČAS DŇA: výčap / expedícia + kontrola kvality a teplôt</t>
        </is>
      </c>
    </row>
    <row r="17" ht="22" customHeight="1">
      <c r="B17" s="8" t="inlineStr">
        <is>
          <t>•  VEČER: uzávierka + odpis znehodnotených šarží</t>
        </is>
      </c>
    </row>
    <row r="18" ht="22" customHeight="1">
      <c r="B18" s="8" t="inlineStr">
        <is>
          <t>•  MESAČNE: cash flow + prehľad marže na hektoliter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B23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výroby a expedície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kvasných a ležiackych tankov</t>
        </is>
      </c>
      <c r="C33" s="21" t="n"/>
      <c r="D33" s="21" t="n"/>
      <c r="E33" s="18" t="n"/>
    </row>
    <row r="34" ht="19" customHeight="1">
      <c r="B34" s="22" t="inlineStr">
        <is>
          <t xml:space="preserve">  Otvorenie: sanitácia liniek a kontrola CO₂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výčapu a veľkoobchodu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odpis znehodnotených šarží zapísaný</t>
        </is>
      </c>
      <c r="C36" s="21" t="n"/>
      <c r="D36" s="21" t="n"/>
      <c r="E36" s="18" t="n"/>
    </row>
    <row r="37" ht="19" customHeight="1">
      <c r="B37" s="20" t="inlineStr">
        <is>
          <t xml:space="preserve">  Zatvorenie: tlakové nádoby a sklad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531C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(NA HL)  ↗</t>
        </is>
      </c>
      <c r="L11" s="29" t="n"/>
    </row>
    <row r="12" ht="22" customHeight="1">
      <c r="B12" s="30">
        <f>IFERROR('03 · Cash flow'!Q14,0)</f>
        <v/>
      </c>
      <c r="D12" s="29" t="n"/>
      <c r="F12" s="31">
        <f>IFERROR('03 · Cash flow'!N30,0)</f>
        <v/>
      </c>
      <c r="H12" s="29" t="n"/>
      <c r="J12" s="36">
        <f>IFERROR('04 · Marža na hl'!H30,0)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ODPISU (ZNEHODNOTENÉ)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Sklad a odpis'!I27,0)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odpis'!I27,"#,##0.00 €")&amp;".","Straty: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na hl'!H31,"0")&amp;".","Marža: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531C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9.3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čapované pivo (sudy / hl)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fľaše a plechovky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tap room / výčap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veľkoobchod a distribúcia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Suroviny (slad, chmeľ, kvasinky, voda)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Obaly (fľaše, plechovky, etikety, sudy)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Nájom a poplatky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Energie a voda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Spotrebná daň z piva (excise)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B23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hl</t>
        </is>
      </c>
    </row>
    <row r="2" ht="20" customHeight="1">
      <c r="B2" s="2" t="inlineStr">
        <is>
          <t>Náklad na hektoliter / 0,5 l a marža druhu piva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Druh piva (na hl / 0,5 l)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Svetlý ležiak 11°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Polotmavý ležiak 12°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IPA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Pšeničné (weizen)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Stout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Sezónny špeciál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531C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8.2" customWidth="1" min="2" max="2"/>
    <col width="11" customWidth="1" min="3" max="3"/>
    <col width="13" customWidth="1" min="4" max="4"/>
    <col width="13" customWidth="1" min="5" max="5"/>
    <col width="13" customWidth="1" min="6" max="6"/>
    <col width="16.1" customWidth="1" min="7" max="7"/>
    <col width="13" customWidth="1" min="8" max="8"/>
    <col width="16.1" customWidth="1" min="9" max="9"/>
  </cols>
  <sheetData>
    <row r="1" ht="38" customHeight="1">
      <c r="B1" s="1" t="inlineStr">
        <is>
          <t>Sklad a odpis</t>
        </is>
      </c>
    </row>
    <row r="2" ht="20" customHeight="1">
      <c r="B2" s="2" t="inlineStr">
        <is>
          <t>Spotreba surovín a hodnota odpisu znehodnotených šarží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45" customHeight="1">
      <c r="B8" s="15" t="inlineStr">
        <is>
          <t>Surovina / šarža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(znehodnotené) (množ.)</t>
        </is>
      </c>
      <c r="H8" s="15" t="inlineStr">
        <is>
          <t>Cena/jedn. €</t>
        </is>
      </c>
      <c r="I8" s="15" t="inlineStr">
        <is>
          <t>Hodnota — odpis (znehodnotené) €</t>
        </is>
      </c>
    </row>
    <row r="9" ht="19" customHeight="1">
      <c r="B9" s="47" t="inlineStr">
        <is>
          <t>Slad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Chmeľ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Kvasinky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Hotové pivo (šarža)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CO₂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(znehodnotené)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B23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(sládok / stáčač / výčap)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531C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Tržby výčapu a veľkoobchodu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Výčap (Z) · faktúry veľkoobchod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41405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výroby (HACCP)</t>
        </is>
      </c>
      <c r="G7" s="15" t="inlineStr">
        <is>
          <t>Zodpovedný výčap alkoholu</t>
        </is>
      </c>
      <c r="H7" s="15" t="inlineStr">
        <is>
          <t>Tlakové nádoby (CO₂) a sanitačné chemikálie</t>
        </is>
      </c>
      <c r="I7" s="15" t="inlineStr">
        <is>
          <t>Spotrebná daň a evidencia výroby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Pivovar / remeselné pivo (SK)</dc:title>
  <dcterms:created xsi:type="dcterms:W3CDTF">2026-05-31T20:10:19Z</dcterms:created>
  <dcterms:modified xsi:type="dcterms:W3CDTF">2026-05-31T20:10:19Z</dcterms:modified>
</cp:coreProperties>
</file>