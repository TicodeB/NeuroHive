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lan" sheetId="1" state="visible" r:id="rId1"/>
    <sheet name="Cashflow Forecast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#,##0\ &quot;€&quot;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</fills>
  <borders count="5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166" fontId="0" fillId="3" borderId="2" pivotButton="0" quotePrefix="0" xfId="0"/>
    <xf numFmtId="0" fontId="0" fillId="3" borderId="2" pivotButton="0" quotePrefix="0" xfId="0"/>
    <xf numFmtId="1" fontId="0" fillId="3" borderId="2" pivotButton="0" quotePrefix="0" xfId="0"/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2" fontId="0" fillId="3" borderId="2" pivotButton="0" quotePrefix="0" xfId="0"/>
    <xf numFmtId="0" fontId="8" fillId="0" borderId="3" applyAlignment="1" pivotButton="0" quotePrefix="0" xfId="0">
      <alignment horizontal="left" vertical="center" indent="1"/>
    </xf>
    <xf numFmtId="166" fontId="8" fillId="4" borderId="3" pivotButton="0" quotePrefix="0" xfId="0"/>
    <xf numFmtId="166" fontId="6" fillId="4" borderId="3" pivotButton="0" quotePrefix="0" xfId="0"/>
    <xf numFmtId="0" fontId="6" fillId="0" borderId="3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4" fontId="6" fillId="4" borderId="3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8" customHeight="1">
      <c r="B1" s="1" t="inlineStr">
        <is>
          <t>Microfinance Ireland — Loan Application</t>
        </is>
      </c>
    </row>
    <row r="2" ht="20" customHeight="1">
      <c r="B2" s="2" t="inlineStr">
        <is>
          <t>Business loans €2,000–€50,000 · business plan + cash-flow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4" t="inlineStr">
        <is>
          <t xml:space="preserve">  Loans above €5,000 require a business plan and a month-by-month cash-flow. Apply via your LEO for a 1% rate discount + mentor support. Source: microfinanceireland.ie.</t>
        </is>
      </c>
    </row>
    <row r="5" ht="24" customHeight="1">
      <c r="B5" s="5" t="inlineStr">
        <is>
          <t>LOAN REQUEST</t>
        </is>
      </c>
      <c r="C5" s="6" t="n"/>
      <c r="D5" s="6" t="n"/>
      <c r="E5" s="6" t="n"/>
      <c r="F5" s="6" t="n"/>
      <c r="G5" s="6" t="n"/>
      <c r="H5" s="6" t="n"/>
      <c r="I5" s="6" t="n"/>
    </row>
    <row r="6" ht="19" customHeight="1">
      <c r="B6" s="7" t="inlineStr">
        <is>
          <t>Amount requested €</t>
        </is>
      </c>
      <c r="D6" s="8" t="n">
        <v>40000</v>
      </c>
    </row>
    <row r="7" ht="19" customHeight="1">
      <c r="B7" s="7" t="inlineStr">
        <is>
          <t>Purpose of loan</t>
        </is>
      </c>
      <c r="D7" s="9" t="n"/>
    </row>
    <row r="8" ht="19" customHeight="1">
      <c r="B8" s="7" t="inlineStr">
        <is>
          <t>Term (months)</t>
        </is>
      </c>
      <c r="D8" s="10" t="n">
        <v>36</v>
      </c>
    </row>
    <row r="9"/>
    <row r="10">
      <c r="B10" s="11" t="inlineStr">
        <is>
          <t>Business summary</t>
        </is>
      </c>
    </row>
    <row r="11" ht="15" customHeight="1">
      <c r="B11" s="12" t="inlineStr">
        <is>
          <t xml:space="preserve">  What the business does, stage, and why now.</t>
        </is>
      </c>
    </row>
    <row r="12" ht="46" customHeight="1">
      <c r="B12" s="13" t="n"/>
    </row>
    <row r="13">
      <c r="B13" s="11" t="inlineStr">
        <is>
          <t>Promoter &amp; experience</t>
        </is>
      </c>
    </row>
    <row r="14" ht="15" customHeight="1">
      <c r="B14" s="12" t="inlineStr">
        <is>
          <t xml:space="preserve">  Your background and relevant experience.</t>
        </is>
      </c>
    </row>
    <row r="15" ht="46" customHeight="1">
      <c r="B15" s="13" t="n"/>
    </row>
    <row r="16">
      <c r="B16" s="11" t="inlineStr">
        <is>
          <t>Market &amp; customers</t>
        </is>
      </c>
    </row>
    <row r="17" ht="15" customHeight="1">
      <c r="B17" s="12" t="inlineStr">
        <is>
          <t xml:space="preserve">  Demand, target customers, and competition.</t>
        </is>
      </c>
    </row>
    <row r="18" ht="46" customHeight="1">
      <c r="B18" s="13" t="n"/>
    </row>
    <row r="19">
      <c r="B19" s="11" t="inlineStr">
        <is>
          <t>How the loan will be repaid</t>
        </is>
      </c>
    </row>
    <row r="20" ht="15" customHeight="1">
      <c r="B20" s="12" t="inlineStr">
        <is>
          <t xml:space="preserve">  Link to the cash-flow forecast sheet.</t>
        </is>
      </c>
    </row>
    <row r="21" ht="46" customHeight="1">
      <c r="B21" s="13" t="n"/>
    </row>
  </sheetData>
  <mergeCells count="15">
    <mergeCell ref="D8:E8"/>
    <mergeCell ref="D6:E6"/>
    <mergeCell ref="B12:I12"/>
    <mergeCell ref="D7:H7"/>
    <mergeCell ref="B18:I18"/>
    <mergeCell ref="B21:I21"/>
    <mergeCell ref="B15:I15"/>
    <mergeCell ref="B11:I11"/>
    <mergeCell ref="B2:I2"/>
    <mergeCell ref="B20:I20"/>
    <mergeCell ref="B5:I5"/>
    <mergeCell ref="B14:I14"/>
    <mergeCell ref="B1:I1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O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8" customHeight="1">
      <c r="B1" s="1" t="inlineStr">
        <is>
          <t>12-Month Cash-Flow Forecast</t>
        </is>
      </c>
    </row>
    <row r="2" ht="20" customHeight="1">
      <c r="B2" s="2" t="inlineStr">
        <is>
          <t>Month-by-month — required for loans above €5,000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0" customHeight="1">
      <c r="B4" s="14" t="inlineStr">
        <is>
          <t>Line (€)</t>
        </is>
      </c>
      <c r="C4" s="14" t="inlineStr">
        <is>
          <t>M1</t>
        </is>
      </c>
      <c r="D4" s="14" t="inlineStr">
        <is>
          <t>M2</t>
        </is>
      </c>
      <c r="E4" s="14" t="inlineStr">
        <is>
          <t>M3</t>
        </is>
      </c>
      <c r="F4" s="14" t="inlineStr">
        <is>
          <t>M4</t>
        </is>
      </c>
      <c r="G4" s="14" t="inlineStr">
        <is>
          <t>M5</t>
        </is>
      </c>
      <c r="H4" s="14" t="inlineStr">
        <is>
          <t>M6</t>
        </is>
      </c>
      <c r="I4" s="14" t="inlineStr">
        <is>
          <t>M7</t>
        </is>
      </c>
      <c r="J4" s="14" t="inlineStr">
        <is>
          <t>M8</t>
        </is>
      </c>
      <c r="K4" s="14" t="inlineStr">
        <is>
          <t>M9</t>
        </is>
      </c>
      <c r="L4" s="14" t="inlineStr">
        <is>
          <t>M10</t>
        </is>
      </c>
      <c r="M4" s="14" t="inlineStr">
        <is>
          <t>M11</t>
        </is>
      </c>
      <c r="N4" s="14" t="inlineStr">
        <is>
          <t>M12</t>
        </is>
      </c>
      <c r="O4" s="14" t="inlineStr">
        <is>
          <t>Year</t>
        </is>
      </c>
    </row>
    <row r="5">
      <c r="B5" s="15" t="inlineStr">
        <is>
          <t>Occupancy ramp ×</t>
        </is>
      </c>
      <c r="C5" s="16" t="n">
        <v>0.45</v>
      </c>
      <c r="D5" s="16" t="n">
        <v>0.55</v>
      </c>
      <c r="E5" s="16" t="n">
        <v>0.62</v>
      </c>
      <c r="F5" s="16" t="n">
        <v>0.68</v>
      </c>
      <c r="G5" s="16" t="n">
        <v>0.74</v>
      </c>
      <c r="H5" s="16" t="n">
        <v>0.8</v>
      </c>
      <c r="I5" s="16" t="n">
        <v>0.85</v>
      </c>
      <c r="J5" s="16" t="n">
        <v>0.88</v>
      </c>
      <c r="K5" s="16" t="n">
        <v>0.85</v>
      </c>
      <c r="L5" s="16" t="n">
        <v>0.8</v>
      </c>
      <c r="M5" s="16" t="n">
        <v>0.74</v>
      </c>
      <c r="N5" s="16" t="n">
        <v>0.7</v>
      </c>
    </row>
    <row r="6">
      <c r="B6" s="17" t="inlineStr">
        <is>
          <t>Cash in — revenue</t>
        </is>
      </c>
      <c r="C6" s="18">
        <f>('Assumptions'!D11/12)*(C5/'Assumptions'!D7)</f>
        <v/>
      </c>
      <c r="D6" s="18">
        <f>('Assumptions'!D11/12)*(D5/'Assumptions'!D7)</f>
        <v/>
      </c>
      <c r="E6" s="18">
        <f>('Assumptions'!D11/12)*(E5/'Assumptions'!D7)</f>
        <v/>
      </c>
      <c r="F6" s="18">
        <f>('Assumptions'!D11/12)*(F5/'Assumptions'!D7)</f>
        <v/>
      </c>
      <c r="G6" s="18">
        <f>('Assumptions'!D11/12)*(G5/'Assumptions'!D7)</f>
        <v/>
      </c>
      <c r="H6" s="18">
        <f>('Assumptions'!D11/12)*(H5/'Assumptions'!D7)</f>
        <v/>
      </c>
      <c r="I6" s="18">
        <f>('Assumptions'!D11/12)*(I5/'Assumptions'!D7)</f>
        <v/>
      </c>
      <c r="J6" s="18">
        <f>('Assumptions'!D11/12)*(J5/'Assumptions'!D7)</f>
        <v/>
      </c>
      <c r="K6" s="18">
        <f>('Assumptions'!D11/12)*(K5/'Assumptions'!D7)</f>
        <v/>
      </c>
      <c r="L6" s="18">
        <f>('Assumptions'!D11/12)*(L5/'Assumptions'!D7)</f>
        <v/>
      </c>
      <c r="M6" s="18">
        <f>('Assumptions'!D11/12)*(M5/'Assumptions'!D7)</f>
        <v/>
      </c>
      <c r="N6" s="18">
        <f>('Assumptions'!D11/12)*(N5/'Assumptions'!D7)</f>
        <v/>
      </c>
      <c r="O6" s="19">
        <f>SUM(C6:N6)</f>
        <v/>
      </c>
    </row>
    <row r="7">
      <c r="B7" s="17" t="inlineStr">
        <is>
          <t>Payroll</t>
        </is>
      </c>
      <c r="C7" s="18">
        <f>C6*'Assumptions'!D14</f>
        <v/>
      </c>
      <c r="D7" s="18">
        <f>D6*'Assumptions'!D14</f>
        <v/>
      </c>
      <c r="E7" s="18">
        <f>E6*'Assumptions'!D14</f>
        <v/>
      </c>
      <c r="F7" s="18">
        <f>F6*'Assumptions'!D14</f>
        <v/>
      </c>
      <c r="G7" s="18">
        <f>G6*'Assumptions'!D14</f>
        <v/>
      </c>
      <c r="H7" s="18">
        <f>H6*'Assumptions'!D14</f>
        <v/>
      </c>
      <c r="I7" s="18">
        <f>I6*'Assumptions'!D14</f>
        <v/>
      </c>
      <c r="J7" s="18">
        <f>J6*'Assumptions'!D14</f>
        <v/>
      </c>
      <c r="K7" s="18">
        <f>K6*'Assumptions'!D14</f>
        <v/>
      </c>
      <c r="L7" s="18">
        <f>L6*'Assumptions'!D14</f>
        <v/>
      </c>
      <c r="M7" s="18">
        <f>M6*'Assumptions'!D14</f>
        <v/>
      </c>
      <c r="N7" s="18">
        <f>N6*'Assumptions'!D14</f>
        <v/>
      </c>
      <c r="O7" s="19">
        <f>SUM(C7:N7)</f>
        <v/>
      </c>
    </row>
    <row r="8">
      <c r="B8" s="17" t="inlineStr">
        <is>
          <t>Other operating costs</t>
        </is>
      </c>
      <c r="C8" s="18">
        <f>C6*('Assumptions'!D15*'Assumptions'!D9+'Assumptions'!D16+'Assumptions'!D17+'Assumptions'!D18+'Assumptions'!D19+'Assumptions'!D20)</f>
        <v/>
      </c>
      <c r="D8" s="18">
        <f>D6*('Assumptions'!D15*'Assumptions'!D9+'Assumptions'!D16+'Assumptions'!D17+'Assumptions'!D18+'Assumptions'!D19+'Assumptions'!D20)</f>
        <v/>
      </c>
      <c r="E8" s="18">
        <f>E6*('Assumptions'!D15*'Assumptions'!D9+'Assumptions'!D16+'Assumptions'!D17+'Assumptions'!D18+'Assumptions'!D19+'Assumptions'!D20)</f>
        <v/>
      </c>
      <c r="F8" s="18">
        <f>F6*('Assumptions'!D15*'Assumptions'!D9+'Assumptions'!D16+'Assumptions'!D17+'Assumptions'!D18+'Assumptions'!D19+'Assumptions'!D20)</f>
        <v/>
      </c>
      <c r="G8" s="18">
        <f>G6*('Assumptions'!D15*'Assumptions'!D9+'Assumptions'!D16+'Assumptions'!D17+'Assumptions'!D18+'Assumptions'!D19+'Assumptions'!D20)</f>
        <v/>
      </c>
      <c r="H8" s="18">
        <f>H6*('Assumptions'!D15*'Assumptions'!D9+'Assumptions'!D16+'Assumptions'!D17+'Assumptions'!D18+'Assumptions'!D19+'Assumptions'!D20)</f>
        <v/>
      </c>
      <c r="I8" s="18">
        <f>I6*('Assumptions'!D15*'Assumptions'!D9+'Assumptions'!D16+'Assumptions'!D17+'Assumptions'!D18+'Assumptions'!D19+'Assumptions'!D20)</f>
        <v/>
      </c>
      <c r="J8" s="18">
        <f>J6*('Assumptions'!D15*'Assumptions'!D9+'Assumptions'!D16+'Assumptions'!D17+'Assumptions'!D18+'Assumptions'!D19+'Assumptions'!D20)</f>
        <v/>
      </c>
      <c r="K8" s="18">
        <f>K6*('Assumptions'!D15*'Assumptions'!D9+'Assumptions'!D16+'Assumptions'!D17+'Assumptions'!D18+'Assumptions'!D19+'Assumptions'!D20)</f>
        <v/>
      </c>
      <c r="L8" s="18">
        <f>L6*('Assumptions'!D15*'Assumptions'!D9+'Assumptions'!D16+'Assumptions'!D17+'Assumptions'!D18+'Assumptions'!D19+'Assumptions'!D20)</f>
        <v/>
      </c>
      <c r="M8" s="18">
        <f>M6*('Assumptions'!D15*'Assumptions'!D9+'Assumptions'!D16+'Assumptions'!D17+'Assumptions'!D18+'Assumptions'!D19+'Assumptions'!D20)</f>
        <v/>
      </c>
      <c r="N8" s="18">
        <f>N6*('Assumptions'!D15*'Assumptions'!D9+'Assumptions'!D16+'Assumptions'!D17+'Assumptions'!D18+'Assumptions'!D19+'Assumptions'!D20)</f>
        <v/>
      </c>
      <c r="O8" s="19">
        <f>SUM(C8:N8)</f>
        <v/>
      </c>
    </row>
    <row r="9">
      <c r="B9" s="17" t="inlineStr">
        <is>
          <t>Loan repayment</t>
        </is>
      </c>
      <c r="C9" s="18">
        <f>1133</f>
        <v/>
      </c>
      <c r="D9" s="18">
        <f>1133</f>
        <v/>
      </c>
      <c r="E9" s="18">
        <f>1133</f>
        <v/>
      </c>
      <c r="F9" s="18">
        <f>1133</f>
        <v/>
      </c>
      <c r="G9" s="18">
        <f>1133</f>
        <v/>
      </c>
      <c r="H9" s="18">
        <f>1133</f>
        <v/>
      </c>
      <c r="I9" s="18">
        <f>1133</f>
        <v/>
      </c>
      <c r="J9" s="18">
        <f>1133</f>
        <v/>
      </c>
      <c r="K9" s="18">
        <f>1133</f>
        <v/>
      </c>
      <c r="L9" s="18">
        <f>1133</f>
        <v/>
      </c>
      <c r="M9" s="18">
        <f>1133</f>
        <v/>
      </c>
      <c r="N9" s="18">
        <f>1133</f>
        <v/>
      </c>
      <c r="O9" s="19">
        <f>SUM(C9:N9)</f>
        <v/>
      </c>
    </row>
    <row r="10">
      <c r="B10" s="20" t="inlineStr">
        <is>
          <t>Net cash flow</t>
        </is>
      </c>
      <c r="C10" s="19">
        <f>C6-C7-C8-C9</f>
        <v/>
      </c>
      <c r="D10" s="19">
        <f>D6-D7-D8-D9</f>
        <v/>
      </c>
      <c r="E10" s="19">
        <f>E6-E7-E8-E9</f>
        <v/>
      </c>
      <c r="F10" s="19">
        <f>F6-F7-F8-F9</f>
        <v/>
      </c>
      <c r="G10" s="19">
        <f>G6-G7-G8-G9</f>
        <v/>
      </c>
      <c r="H10" s="19">
        <f>H6-H7-H8-H9</f>
        <v/>
      </c>
      <c r="I10" s="19">
        <f>I6-I7-I8-I9</f>
        <v/>
      </c>
      <c r="J10" s="19">
        <f>J6-J7-J8-J9</f>
        <v/>
      </c>
      <c r="K10" s="19">
        <f>K6-K7-K8-K9</f>
        <v/>
      </c>
      <c r="L10" s="19">
        <f>L6-L7-L8-L9</f>
        <v/>
      </c>
      <c r="M10" s="19">
        <f>M6-M7-M8-M9</f>
        <v/>
      </c>
      <c r="N10" s="19">
        <f>N6-N7-N8-N9</f>
        <v/>
      </c>
      <c r="O10" s="19">
        <f>SUM(C10:N10)</f>
        <v/>
      </c>
    </row>
    <row r="11">
      <c r="B11" s="21" t="inlineStr">
        <is>
          <t>Opening cash</t>
        </is>
      </c>
      <c r="C11" s="18">
        <f>'Assumptions'!D38-'Assumptions'!D31</f>
        <v/>
      </c>
      <c r="D11" s="18">
        <f>C12</f>
        <v/>
      </c>
      <c r="E11" s="18">
        <f>D12</f>
        <v/>
      </c>
      <c r="F11" s="18">
        <f>E12</f>
        <v/>
      </c>
      <c r="G11" s="18">
        <f>F12</f>
        <v/>
      </c>
      <c r="H11" s="18">
        <f>G12</f>
        <v/>
      </c>
      <c r="I11" s="18">
        <f>H12</f>
        <v/>
      </c>
      <c r="J11" s="18">
        <f>I12</f>
        <v/>
      </c>
      <c r="K11" s="18">
        <f>J12</f>
        <v/>
      </c>
      <c r="L11" s="18">
        <f>K12</f>
        <v/>
      </c>
      <c r="M11" s="18">
        <f>L12</f>
        <v/>
      </c>
      <c r="N11" s="18">
        <f>M12</f>
        <v/>
      </c>
    </row>
    <row r="12">
      <c r="B12" s="22" t="inlineStr">
        <is>
          <t>Closing cash</t>
        </is>
      </c>
      <c r="C12" s="19">
        <f>C11+C10</f>
        <v/>
      </c>
      <c r="D12" s="19">
        <f>D11+D10</f>
        <v/>
      </c>
      <c r="E12" s="19">
        <f>E11+E10</f>
        <v/>
      </c>
      <c r="F12" s="19">
        <f>F11+F10</f>
        <v/>
      </c>
      <c r="G12" s="19">
        <f>G11+G10</f>
        <v/>
      </c>
      <c r="H12" s="19">
        <f>H11+H10</f>
        <v/>
      </c>
      <c r="I12" s="19">
        <f>I11+I10</f>
        <v/>
      </c>
      <c r="J12" s="19">
        <f>J11+J10</f>
        <v/>
      </c>
      <c r="K12" s="19">
        <f>K11+K10</f>
        <v/>
      </c>
      <c r="L12" s="19">
        <f>L11+L10</f>
        <v/>
      </c>
      <c r="M12" s="19">
        <f>M11+M10</f>
        <v/>
      </c>
      <c r="N12" s="19">
        <f>N11+N10</f>
        <v/>
      </c>
      <c r="O12" s="19">
        <f>N12</f>
        <v/>
      </c>
    </row>
    <row r="13" ht="19" customHeight="1">
      <c r="B13" s="11" t="inlineStr">
        <is>
          <t>Lowest closing cash €</t>
        </is>
      </c>
      <c r="C13" s="19">
        <f>MIN(C12:N12)</f>
        <v/>
      </c>
    </row>
  </sheetData>
  <mergeCells count="3">
    <mergeCell ref="C13:D13"/>
    <mergeCell ref="B1:O1"/>
    <mergeCell ref="B2:O2"/>
  </mergeCells>
  <conditionalFormatting sqref="C12:N12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5" t="inlineStr">
        <is>
          <t>DEMAND &amp; RATE</t>
        </is>
      </c>
      <c r="C4" s="6" t="n"/>
      <c r="D4" s="6" t="n"/>
      <c r="E4" s="6" t="n"/>
      <c r="F4" s="6" t="n"/>
    </row>
    <row r="5" ht="18" customHeight="1">
      <c r="B5" s="7" t="inlineStr">
        <is>
          <t>Rooms available</t>
        </is>
      </c>
      <c r="D5" s="10" t="n">
        <v>24</v>
      </c>
    </row>
    <row r="6" ht="18" customHeight="1">
      <c r="B6" s="7" t="inlineStr">
        <is>
          <t>ADR — average daily rate</t>
        </is>
      </c>
      <c r="D6" s="23" t="n">
        <v>135</v>
      </c>
      <c r="F6" s="24" t="inlineStr">
        <is>
          <t>4★ boutique IE €110–180</t>
        </is>
      </c>
    </row>
    <row r="7" ht="18" customHeight="1">
      <c r="B7" s="7" t="inlineStr">
        <is>
          <t>Occupancy</t>
        </is>
      </c>
      <c r="D7" s="25" t="n">
        <v>0.72</v>
      </c>
      <c r="F7" s="24" t="inlineStr">
        <is>
          <t>annualised; 65–80% typical</t>
        </is>
      </c>
    </row>
    <row r="8" ht="18" customHeight="1">
      <c r="B8" s="7" t="inlineStr">
        <is>
          <t>RevPAR (ADR × occupancy)</t>
        </is>
      </c>
      <c r="D8" s="26">
        <f>'Assumptions'!D6*'Assumptions'!D7</f>
        <v/>
      </c>
    </row>
    <row r="9" ht="18" customHeight="1">
      <c r="B9" s="7" t="inlineStr">
        <is>
          <t>F&amp;B + other revenue (% of rooms)</t>
        </is>
      </c>
      <c r="D9" s="25" t="n">
        <v>0.28</v>
      </c>
    </row>
    <row r="10" ht="18" customHeight="1">
      <c r="B10" s="7" t="inlineStr">
        <is>
          <t>Rooms revenue / yr</t>
        </is>
      </c>
      <c r="D10" s="19">
        <f>'Assumptions'!D5*365*'Assumptions'!D8</f>
        <v/>
      </c>
    </row>
    <row r="11" ht="18" customHeight="1">
      <c r="B11" s="7" t="inlineStr">
        <is>
          <t>Total revenue / yr</t>
        </is>
      </c>
      <c r="D11" s="19">
        <f>'Assumptions'!D10*(1+'Assumptions'!D9)</f>
        <v/>
      </c>
    </row>
    <row r="12"/>
    <row r="13" ht="24" customHeight="1">
      <c r="B13" s="5" t="inlineStr">
        <is>
          <t>COST RATIOS</t>
        </is>
      </c>
      <c r="C13" s="6" t="n"/>
      <c r="D13" s="6" t="n"/>
      <c r="E13" s="6" t="n"/>
      <c r="F13" s="6" t="n"/>
    </row>
    <row r="14" ht="18" customHeight="1">
      <c r="B14" s="7" t="inlineStr">
        <is>
          <t>Payroll (% of total revenue)</t>
        </is>
      </c>
      <c r="D14" s="25" t="n">
        <v>0.3</v>
      </c>
    </row>
    <row r="15" ht="18" customHeight="1">
      <c r="B15" s="7" t="inlineStr">
        <is>
          <t>F&amp;B cost (% of F&amp;B revenue)</t>
        </is>
      </c>
      <c r="D15" s="25" t="n">
        <v>0.3</v>
      </c>
    </row>
    <row r="16" ht="18" customHeight="1">
      <c r="B16" s="7" t="inlineStr">
        <is>
          <t>Rooms cost (% of rooms revenue)</t>
        </is>
      </c>
      <c r="D16" s="25" t="n">
        <v>0.1</v>
      </c>
    </row>
    <row r="17" ht="18" customHeight="1">
      <c r="B17" s="7" t="inlineStr">
        <is>
          <t>Utilities (% of total revenue)</t>
        </is>
      </c>
      <c r="D17" s="25" t="n">
        <v>0.05</v>
      </c>
    </row>
    <row r="18" ht="18" customHeight="1">
      <c r="B18" s="7" t="inlineStr">
        <is>
          <t>Sales &amp; marketing (% of revenue)</t>
        </is>
      </c>
      <c r="D18" s="25" t="n">
        <v>0.06</v>
      </c>
    </row>
    <row r="19" ht="18" customHeight="1">
      <c r="B19" s="7" t="inlineStr">
        <is>
          <t>Admin &amp; general (% of revenue)</t>
        </is>
      </c>
      <c r="D19" s="25" t="n">
        <v>0.05</v>
      </c>
    </row>
    <row r="20" ht="18" customHeight="1">
      <c r="B20" s="7" t="inlineStr">
        <is>
          <t>Property: rent/rates/insurance (%)</t>
        </is>
      </c>
      <c r="D20" s="25" t="n">
        <v>0.12</v>
      </c>
    </row>
    <row r="21"/>
    <row r="22" ht="24" customHeight="1">
      <c r="B22" s="5" t="inlineStr">
        <is>
          <t>CAPITAL EXPENDITURE (FIT-OUT LED — LEASED PROPERTY)</t>
        </is>
      </c>
      <c r="C22" s="6" t="n"/>
      <c r="D22" s="6" t="n"/>
      <c r="E22" s="6" t="n"/>
      <c r="F22" s="6" t="n"/>
    </row>
    <row r="23" ht="18" customHeight="1">
      <c r="B23" s="7" t="inlineStr">
        <is>
          <t>Lease deposit &amp; legal</t>
        </is>
      </c>
      <c r="D23" s="8" t="n">
        <v>45000</v>
      </c>
    </row>
    <row r="24" ht="18" customHeight="1">
      <c r="B24" s="7" t="inlineStr">
        <is>
          <t>Building refurbishment &amp; fit-out</t>
        </is>
      </c>
      <c r="D24" s="8" t="n">
        <v>240000</v>
      </c>
    </row>
    <row r="25" ht="18" customHeight="1">
      <c r="B25" s="7" t="inlineStr">
        <is>
          <t>FF&amp;E (rooms, beds, furniture)</t>
        </is>
      </c>
      <c r="D25" s="8" t="n">
        <v>120000</v>
      </c>
    </row>
    <row r="26" ht="18" customHeight="1">
      <c r="B26" s="7" t="inlineStr">
        <is>
          <t>Kitchen &amp; F&amp;B equipment</t>
        </is>
      </c>
      <c r="D26" s="8" t="n">
        <v>55000</v>
      </c>
    </row>
    <row r="27" ht="18" customHeight="1">
      <c r="B27" s="7" t="inlineStr">
        <is>
          <t>IT, PMS, POS &amp; networking</t>
        </is>
      </c>
      <c r="D27" s="8" t="n">
        <v>30000</v>
      </c>
    </row>
    <row r="28" ht="18" customHeight="1">
      <c r="B28" s="7" t="inlineStr">
        <is>
          <t>Branding, signage &amp; website</t>
        </is>
      </c>
      <c r="D28" s="8" t="n">
        <v>25000</v>
      </c>
    </row>
    <row r="29" ht="18" customHeight="1">
      <c r="B29" s="7" t="inlineStr">
        <is>
          <t>Pre-opening payroll &amp; training</t>
        </is>
      </c>
      <c r="D29" s="8" t="n">
        <v>35000</v>
      </c>
    </row>
    <row r="30" ht="18" customHeight="1">
      <c r="B30" s="7" t="inlineStr">
        <is>
          <t>Working capital buffer</t>
        </is>
      </c>
      <c r="D30" s="8" t="n">
        <v>50000</v>
      </c>
    </row>
    <row r="31">
      <c r="B31" s="27" t="inlineStr">
        <is>
          <t>Total capex required</t>
        </is>
      </c>
      <c r="D31" s="19">
        <f>SUM(D23:D30)</f>
        <v/>
      </c>
    </row>
    <row r="32"/>
    <row r="33" ht="24" customHeight="1">
      <c r="B33" s="5" t="inlineStr">
        <is>
          <t>FUNDING MIX</t>
        </is>
      </c>
      <c r="C33" s="6" t="n"/>
      <c r="D33" s="6" t="n"/>
      <c r="E33" s="6" t="n"/>
      <c r="F33" s="6" t="n"/>
    </row>
    <row r="34" ht="18" customHeight="1">
      <c r="B34" s="7" t="inlineStr">
        <is>
          <t>Founder equity (incl. SURE refund)</t>
        </is>
      </c>
      <c r="D34" s="8" t="n">
        <v>180000</v>
      </c>
      <c r="F34" s="28">
        <f>IF($D$34="","",D34/SUM($D$34:$D$37))</f>
        <v/>
      </c>
    </row>
    <row r="35" ht="18" customHeight="1">
      <c r="B35" s="7" t="inlineStr">
        <is>
          <t>LEO Priming grant</t>
        </is>
      </c>
      <c r="D35" s="8" t="n">
        <v>80000</v>
      </c>
      <c r="F35" s="28">
        <f>IF($D$35="","",D35/SUM($D$34:$D$37))</f>
        <v/>
      </c>
    </row>
    <row r="36" ht="18" customHeight="1">
      <c r="B36" s="7" t="inlineStr">
        <is>
          <t>Bank / SBCI term loan</t>
        </is>
      </c>
      <c r="D36" s="8" t="n">
        <v>300000</v>
      </c>
      <c r="F36" s="28">
        <f>IF($D$36="","",D36/SUM($D$34:$D$37))</f>
        <v/>
      </c>
    </row>
    <row r="37" ht="18" customHeight="1">
      <c r="B37" s="7" t="inlineStr">
        <is>
          <t>Microfinance Ireland loan</t>
        </is>
      </c>
      <c r="D37" s="8" t="n">
        <v>40000</v>
      </c>
      <c r="F37" s="28">
        <f>IF($D$37="","",D37/SUM($D$34:$D$37))</f>
        <v/>
      </c>
    </row>
    <row r="38">
      <c r="B38" s="27" t="inlineStr">
        <is>
          <t>Total funding raised</t>
        </is>
      </c>
      <c r="D38" s="19">
        <f>SUM(D34:D37)</f>
        <v/>
      </c>
    </row>
    <row r="39">
      <c r="B39" s="11" t="inlineStr">
        <is>
          <t>Funding vs capex (surplus/gap)</t>
        </is>
      </c>
      <c r="D39" s="19">
        <f>'Assumptions'!D38-'Assumptions'!D31</f>
        <v/>
      </c>
    </row>
    <row r="40"/>
    <row r="41" ht="24" customHeight="1">
      <c r="B41" s="5" t="inlineStr">
        <is>
          <t>SOURCES &amp; BENCHMARK NOTES</t>
        </is>
      </c>
      <c r="C41" s="6" t="n"/>
      <c r="D41" s="6" t="n"/>
      <c r="E41" s="6" t="n"/>
      <c r="F41" s="6" t="n"/>
    </row>
    <row r="42" ht="30" customHeight="1">
      <c r="B42" s="4" t="inlineStr">
        <is>
          <t xml:space="preserve">  ADR/occupancy/RevPAR: Fáilte Ireland Hotel Survey 2024 — 4★ ADR €143.50–€144.49, occupancy 60.2% (Dec) → 74.1% (Nov), RevPAR €86.42–€107.07.</t>
        </is>
      </c>
    </row>
    <row r="43" ht="30" customHeight="1">
      <c r="B43" s="4" t="inlineStr">
        <is>
          <t xml:space="preserve">  Cost ratios: hospitality labour 25–35% of revenue (US long-run 31.2%); USALI F&amp;B cost-of-sales; GOP margin ~36–38% (HotelData 2025). See `startup_benchmarks` table.</t>
        </is>
      </c>
    </row>
    <row r="44" ht="30" customHeight="1">
      <c r="B44" s="4" t="inlineStr">
        <is>
          <t xml:space="preserve">  Grant/funding figures: Local Enterprise Office (localenterprise.ie), Microfinance Ireland, SBCI, Fáilte Ireland investment schemes.</t>
        </is>
      </c>
    </row>
    <row r="45" ht="30" customHeight="1">
      <c r="B45" s="4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9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Microfinance Ireland — loan application</dc:title>
  <dcterms:created xsi:type="dcterms:W3CDTF">2026-06-04T13:30:31Z</dcterms:created>
  <dcterms:modified xsi:type="dcterms:W3CDTF">2026-06-04T13:30:31Z</dcterms:modified>
</cp:coreProperties>
</file>