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gibility" sheetId="1" state="visible" r:id="rId1"/>
    <sheet name="Refund Calculator" sheetId="2" state="visible" r:id="rId2"/>
    <sheet name="Claim Proc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\ &quot;€&quot;"/>
    <numFmt numFmtId="165" formatCode="0.0%"/>
  </numFmts>
  <fonts count="13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i val="1"/>
      <color rgb="001A2B45"/>
      <sz val="9.5"/>
    </font>
    <font>
      <name val="Calibri"/>
      <b val="1"/>
      <color rgb="002D6CDF"/>
      <sz val="10.5"/>
    </font>
    <font>
      <name val="Calibri"/>
      <color rgb="001A2B45"/>
      <sz val="9.5"/>
    </font>
    <font>
      <name val="Calibri"/>
      <b val="1"/>
      <color rgb="002D6CDF"/>
      <sz val="11"/>
    </font>
    <font>
      <name val="Calibri"/>
      <b val="1"/>
      <color rgb="001A2B45"/>
      <sz val="10"/>
    </font>
    <font>
      <name val="Calibri"/>
      <i val="1"/>
      <color rgb="009AA3B0"/>
      <sz val="8"/>
    </font>
    <font>
      <name val="Calibri"/>
      <color rgb="001A2B45"/>
      <sz val="10"/>
    </font>
    <font>
      <name val="Calibri"/>
      <b val="1"/>
      <color rgb="00FFFFFF"/>
      <sz val="10"/>
    </font>
    <font>
      <name val="Calibri"/>
      <b val="1"/>
      <color rgb="001A2B45"/>
      <sz val="9.5"/>
    </font>
    <font>
      <name val="Calibri"/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F4F7FB"/>
      </patternFill>
    </fill>
    <fill>
      <patternFill patternType="solid">
        <fgColor rgb="002D6CDF"/>
      </patternFill>
    </fill>
  </fills>
  <borders count="6">
    <border>
      <left/>
      <right/>
      <top/>
      <bottom/>
      <diagonal/>
    </border>
    <border>
      <bottom style="thin">
        <color rgb="002D6CDF"/>
      </bottom>
    </border>
    <border>
      <bottom style="thin">
        <color rgb="00DCE3ED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15A38C"/>
      </bottom>
    </border>
    <border>
      <left/>
      <right/>
      <top/>
      <bottom style="thin">
        <color rgb="00DCE3ED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2" applyAlignment="1" pivotButton="0" quotePrefix="0" xfId="0">
      <alignment horizontal="left" vertical="center" wrapText="1" indent="1"/>
    </xf>
    <xf numFmtId="0" fontId="5" fillId="4" borderId="3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0" fillId="4" borderId="3" pivotButton="0" quotePrefix="0" xfId="0"/>
    <xf numFmtId="0" fontId="10" fillId="6" borderId="4" applyAlignment="1" pivotButton="0" quotePrefix="0" xfId="0">
      <alignment horizontal="center" vertical="center" wrapText="1"/>
    </xf>
    <xf numFmtId="164" fontId="5" fillId="4" borderId="3" applyAlignment="1" pivotButton="0" quotePrefix="0" xfId="0">
      <alignment horizontal="left" vertical="center" indent="1"/>
    </xf>
    <xf numFmtId="164" fontId="5" fillId="3" borderId="2" applyAlignment="1" pivotButton="0" quotePrefix="0" xfId="0">
      <alignment horizontal="left" vertical="center" indent="1"/>
    </xf>
    <xf numFmtId="164" fontId="11" fillId="3" borderId="2" applyAlignment="1" pivotButton="0" quotePrefix="0" xfId="0">
      <alignment horizontal="left" vertical="center" indent="1"/>
    </xf>
    <xf numFmtId="164" fontId="11" fillId="3" borderId="2" pivotButton="0" quotePrefix="0" xfId="0"/>
    <xf numFmtId="0" fontId="11" fillId="0" borderId="0" applyAlignment="1" pivotButton="0" quotePrefix="0" xfId="0">
      <alignment horizontal="left" vertical="center"/>
    </xf>
    <xf numFmtId="165" fontId="11" fillId="3" borderId="2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5" fillId="0" borderId="2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name val="Calibri"/>
        <b val="1"/>
        <color rgb="001E9E6A"/>
        <sz val="10"/>
      </font>
      <fill>
        <patternFill patternType="solid">
          <fgColor rgb="00E6F4EC"/>
        </patternFill>
      </fill>
    </dxf>
    <dxf>
      <font>
        <name val="Calibri"/>
        <b val="1"/>
        <color rgb="00C0392B"/>
        <sz val="10"/>
      </font>
      <fill>
        <patternFill patternType="solid">
          <fgColor rgb="00F8E1DD"/>
        </patternFill>
      </fill>
    </dxf>
    <dxf>
      <font>
        <name val="Calibri"/>
        <color rgb="00B26B00"/>
        <sz val="9.5"/>
      </font>
      <fill>
        <patternFill patternType="solid">
          <fgColor rgb="00FBEF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4" customWidth="1" min="2" max="2"/>
    <col width="14" customWidth="1" min="3" max="3"/>
    <col width="18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SURE — Start-Up Refunds for Entrepreneurs</t>
        </is>
      </c>
    </row>
    <row r="2" ht="20" customHeight="1">
      <c r="B2" s="2" t="inlineStr">
        <is>
          <t>Revenue income-tax refund — up to 41% of capital you invest</t>
        </is>
      </c>
    </row>
    <row r="3" ht="3" customHeight="1">
      <c r="B3" s="3" t="n"/>
      <c r="C3" s="3" t="n"/>
      <c r="D3" s="3" t="n"/>
      <c r="E3" s="3" t="n"/>
    </row>
    <row r="4" ht="30" customHeight="1">
      <c r="B4" s="4" t="inlineStr">
        <is>
          <t xml:space="preserve">  SURE refunds PAYE income tax you paid over the 6 years before the year you invest, against new ordinary shares in your new company. Source: revenue.ie (IT15) / sure.gov.ie.</t>
        </is>
      </c>
    </row>
    <row r="5" ht="24" customHeight="1">
      <c r="B5" s="5" t="inlineStr">
        <is>
          <t>ELIGIBILITY CHECKLIST</t>
        </is>
      </c>
      <c r="C5" s="6" t="n"/>
      <c r="D5" s="6" t="n"/>
      <c r="E5" s="6" t="n"/>
    </row>
    <row r="6" ht="30" customHeight="1">
      <c r="B6" s="7" t="inlineStr">
        <is>
          <t>Had mainly PAYE income in the previous 4 years (employed/unemployed/redundant/retired)</t>
        </is>
      </c>
      <c r="C6" s="8" t="inlineStr">
        <is>
          <t>Yes</t>
        </is>
      </c>
      <c r="D6" s="9" t="n"/>
      <c r="E6" s="9" t="n"/>
    </row>
    <row r="7" ht="30" customHeight="1">
      <c r="B7" s="10" t="inlineStr">
        <is>
          <t>Establishing a NEW company in a qualifying trading activity</t>
        </is>
      </c>
      <c r="C7" s="8" t="inlineStr">
        <is>
          <t>Yes</t>
        </is>
      </c>
      <c r="D7" s="11" t="n"/>
      <c r="E7" s="11" t="n"/>
    </row>
    <row r="8" ht="30" customHeight="1">
      <c r="B8" s="7" t="inlineStr">
        <is>
          <t>Investing cash for NEW ORDINARY SHARES (no preferential rights)</t>
        </is>
      </c>
      <c r="C8" s="8" t="inlineStr">
        <is>
          <t>Yes</t>
        </is>
      </c>
      <c r="D8" s="9" t="n"/>
      <c r="E8" s="9" t="n"/>
    </row>
    <row r="9" ht="30" customHeight="1">
      <c r="B9" s="10" t="inlineStr">
        <is>
          <t>Will take full-time director/employee role within 6 months of share issue</t>
        </is>
      </c>
      <c r="C9" s="8" t="inlineStr">
        <is>
          <t>Yes</t>
        </is>
      </c>
      <c r="D9" s="11" t="n"/>
      <c r="E9" s="11" t="n"/>
    </row>
    <row r="10" ht="30" customHeight="1">
      <c r="B10" s="7" t="inlineStr">
        <is>
          <t>Will hold the shares for at least 4 years (early disposal = clawback)</t>
        </is>
      </c>
      <c r="C10" s="8" t="inlineStr">
        <is>
          <t>Yes</t>
        </is>
      </c>
      <c r="D10" s="9" t="n"/>
      <c r="E10" s="9" t="n"/>
    </row>
    <row r="11" ht="45" customHeight="1">
      <c r="B11" s="10" t="inlineStr">
        <is>
          <t>Company is an unquoted Irish/EEA SME, tax-cleared, not under another company's control</t>
        </is>
      </c>
      <c r="C11" s="8" t="inlineStr">
        <is>
          <t>Yes</t>
        </is>
      </c>
      <c r="D11" s="11" t="n"/>
      <c r="E11" s="11" t="n"/>
    </row>
    <row r="12"/>
    <row r="13">
      <c r="B13" s="12" t="inlineStr">
        <is>
          <t>Overall eligibility</t>
        </is>
      </c>
      <c r="C13" s="13">
        <f>IF(COUNTIF(C6:C11,"Yes")=6,"🟢 Eligible","🔴 Not yet eligible")</f>
        <v/>
      </c>
    </row>
    <row r="14"/>
    <row r="15" ht="22" customHeight="1">
      <c r="B15" s="14" t="inlineStr">
        <is>
          <t>ASSET-FORGE · LEANTA Turnkey Pack · Boutique Hotel · v1.0 · 04/06/2026 · SURE · eligibility</t>
        </is>
      </c>
    </row>
  </sheetData>
  <mergeCells count="5">
    <mergeCell ref="B1:E1"/>
    <mergeCell ref="B4:E4"/>
    <mergeCell ref="B15:K15"/>
    <mergeCell ref="B5:E5"/>
    <mergeCell ref="B2:E2"/>
  </mergeCells>
  <conditionalFormatting sqref="C13">
    <cfRule type="expression" priority="1" dxfId="0">
      <formula>ISNUMBER(SEARCH("🟢",C13))</formula>
    </cfRule>
    <cfRule type="expression" priority="2" dxfId="1">
      <formula>ISNUMBER(SEARCH("🔴",C13))</formula>
    </cfRule>
  </conditionalFormatting>
  <dataValidations count="1">
    <dataValidation sqref="C6 C7 C8 C9 C10 C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CDF"/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1.6" customWidth="1" min="2" max="2"/>
    <col width="18" customWidth="1" min="3" max="3"/>
    <col width="18" customWidth="1" min="4" max="4"/>
    <col width="18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SURE Refund Calculator</t>
        </is>
      </c>
    </row>
    <row r="2" ht="20" customHeight="1">
      <c r="B2" s="2" t="inlineStr">
        <is>
          <t>Enter your P60/P21 figures — refund = lower of tax paid or investment</t>
        </is>
      </c>
    </row>
    <row r="3" ht="3" customHeight="1">
      <c r="B3" s="3" t="n"/>
      <c r="C3" s="3" t="n"/>
      <c r="D3" s="3" t="n"/>
      <c r="E3" s="3" t="n"/>
      <c r="F3" s="3" t="n"/>
    </row>
    <row r="4" ht="30" customHeight="1">
      <c r="B4" s="4" t="inlineStr">
        <is>
          <t xml:space="preserve">  Investment is set against your income in the prior 6 years (most recent first), capped at €140,000 per year of assessment. Refund in a year ≤ the income tax you paid that year.</t>
        </is>
      </c>
    </row>
    <row r="5" ht="19" customHeight="1">
      <c r="B5" s="15" t="inlineStr">
        <is>
          <t>Total SURE investment €</t>
        </is>
      </c>
      <c r="C5" s="16" t="n">
        <v>180000</v>
      </c>
    </row>
    <row r="6"/>
    <row r="7" ht="24" customHeight="1">
      <c r="B7" s="5" t="inlineStr">
        <is>
          <t>YEAR-BY-YEAR (MOST RECENT FIRST)</t>
        </is>
      </c>
      <c r="C7" s="6" t="n"/>
      <c r="D7" s="6" t="n"/>
      <c r="E7" s="6" t="n"/>
      <c r="F7" s="6" t="n"/>
    </row>
    <row r="8" ht="30" customHeight="1">
      <c r="B8" s="17" t="inlineStr">
        <is>
          <t>Year of assessment</t>
        </is>
      </c>
      <c r="C8" s="17" t="inlineStr">
        <is>
          <t>Gross pay €</t>
        </is>
      </c>
      <c r="D8" s="17" t="inlineStr">
        <is>
          <t>Income tax paid €</t>
        </is>
      </c>
      <c r="E8" s="17" t="inlineStr">
        <is>
          <t>Investment applied €</t>
        </is>
      </c>
      <c r="F8" s="17" t="inlineStr">
        <is>
          <t>Refund €</t>
        </is>
      </c>
    </row>
    <row r="9" ht="19" customHeight="1">
      <c r="B9" s="9" t="inlineStr">
        <is>
          <t>2025 (Y-1)</t>
        </is>
      </c>
      <c r="C9" s="18" t="n">
        <v>85000</v>
      </c>
      <c r="D9" s="18" t="n">
        <v>24000</v>
      </c>
      <c r="E9" s="19">
        <f>MAX(0,MIN(C5,C9,140000))</f>
        <v/>
      </c>
      <c r="F9" s="20">
        <f>IF(C9=0,0,D9*E9/C9)</f>
        <v/>
      </c>
    </row>
    <row r="10" ht="19" customHeight="1">
      <c r="B10" s="11" t="inlineStr">
        <is>
          <t>2024 (Y-2)</t>
        </is>
      </c>
      <c r="C10" s="18" t="n">
        <v>80000</v>
      </c>
      <c r="D10" s="18" t="n">
        <v>21500</v>
      </c>
      <c r="E10" s="19">
        <f>MAX(0,MIN((C5-SUM(E9:E9)),C10,140000))</f>
        <v/>
      </c>
      <c r="F10" s="20">
        <f>IF(C10=0,0,D10*E10/C10)</f>
        <v/>
      </c>
    </row>
    <row r="11" ht="19" customHeight="1">
      <c r="B11" s="9" t="inlineStr">
        <is>
          <t>2023 (Y-3)</t>
        </is>
      </c>
      <c r="C11" s="18" t="n">
        <v>72000</v>
      </c>
      <c r="D11" s="18" t="n">
        <v>18000</v>
      </c>
      <c r="E11" s="19">
        <f>MAX(0,MIN((C5-SUM(E9:E10)),C11,140000))</f>
        <v/>
      </c>
      <c r="F11" s="20">
        <f>IF(C11=0,0,D11*E11/C11)</f>
        <v/>
      </c>
    </row>
    <row r="12" ht="19" customHeight="1">
      <c r="B12" s="11" t="inlineStr">
        <is>
          <t>2022 (Y-4)</t>
        </is>
      </c>
      <c r="C12" s="18" t="n">
        <v>60000</v>
      </c>
      <c r="D12" s="18" t="n">
        <v>13500</v>
      </c>
      <c r="E12" s="19">
        <f>MAX(0,MIN((C5-SUM(E9:E11)),C12,140000))</f>
        <v/>
      </c>
      <c r="F12" s="20">
        <f>IF(C12=0,0,D12*E12/C12)</f>
        <v/>
      </c>
    </row>
    <row r="13" ht="19" customHeight="1">
      <c r="B13" s="9" t="inlineStr">
        <is>
          <t>2021 (Y-5)</t>
        </is>
      </c>
      <c r="C13" s="18" t="n">
        <v>0</v>
      </c>
      <c r="D13" s="18" t="n">
        <v>0</v>
      </c>
      <c r="E13" s="19">
        <f>MAX(0,MIN((C5-SUM(E9:E12)),C13,140000))</f>
        <v/>
      </c>
      <c r="F13" s="20">
        <f>IF(C13=0,0,D13*E13/C13)</f>
        <v/>
      </c>
    </row>
    <row r="14" ht="19" customHeight="1">
      <c r="B14" s="11" t="inlineStr">
        <is>
          <t>2020 (Y-6)</t>
        </is>
      </c>
      <c r="C14" s="18" t="n">
        <v>0</v>
      </c>
      <c r="D14" s="18" t="n">
        <v>0</v>
      </c>
      <c r="E14" s="19">
        <f>MAX(0,MIN((C5-SUM(E9:E13)),C14,140000))</f>
        <v/>
      </c>
      <c r="F14" s="20">
        <f>IF(C14=0,0,D14*E14/C14)</f>
        <v/>
      </c>
    </row>
    <row r="15">
      <c r="B15" s="12" t="inlineStr">
        <is>
          <t>Estimated SURE refund</t>
        </is>
      </c>
      <c r="F15" s="21">
        <f>SUM(F9:F14)</f>
        <v/>
      </c>
    </row>
    <row r="16">
      <c r="B16" s="22" t="inlineStr">
        <is>
          <t>Effective refund (% of investment)</t>
        </is>
      </c>
      <c r="F16" s="23">
        <f>IFERROR(F15/C5,0)</f>
        <v/>
      </c>
    </row>
    <row r="17">
      <c r="B17" s="24" t="inlineStr">
        <is>
          <t>→ Feeds Phase-2 funding mix as founder equity</t>
        </is>
      </c>
    </row>
    <row r="18"/>
    <row r="19" ht="22" customHeight="1">
      <c r="B19" s="14" t="inlineStr">
        <is>
          <t>ASSET-FORGE · LEANTA Turnkey Pack · Boutique Hotel · v1.0 · 04/06/2026 · SURE · calculator</t>
        </is>
      </c>
    </row>
  </sheetData>
  <mergeCells count="6">
    <mergeCell ref="B4:F4"/>
    <mergeCell ref="B7:F7"/>
    <mergeCell ref="B2:F2"/>
    <mergeCell ref="C5:D5"/>
    <mergeCell ref="B1:F1"/>
    <mergeCell ref="B19:K19"/>
  </mergeCells>
  <conditionalFormatting sqref="F16">
    <cfRule type="cellIs" priority="1" operator="greaterThan" dxfId="2">
      <formula>0.41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CDF"/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16" customWidth="1" min="3" max="3"/>
    <col width="16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SURE — How to Claim</t>
        </is>
      </c>
    </row>
    <row r="2" ht="20" customHeight="1">
      <c r="B2" s="2" t="inlineStr">
        <is>
          <t>Steps, documents and contacts</t>
        </is>
      </c>
    </row>
    <row r="3" ht="3" customHeight="1">
      <c r="B3" s="3" t="n"/>
      <c r="C3" s="3" t="n"/>
      <c r="D3" s="3" t="n"/>
      <c r="E3" s="3" t="n"/>
    </row>
    <row r="4" ht="24" customHeight="1">
      <c r="B4" s="5" t="inlineStr">
        <is>
          <t>PROCESS</t>
        </is>
      </c>
      <c r="C4" s="6" t="n"/>
      <c r="D4" s="6" t="n"/>
      <c r="E4" s="6" t="n"/>
    </row>
    <row r="5" ht="19" customHeight="1">
      <c r="B5" s="7" t="inlineStr">
        <is>
          <t>1.  Incorporate your qualifying company (CRO) with an appropriate trade.</t>
        </is>
      </c>
      <c r="C5" s="25" t="n"/>
      <c r="D5" s="25" t="n"/>
      <c r="E5" s="9" t="n"/>
    </row>
    <row r="6" ht="30" customHeight="1">
      <c r="B6" s="10" t="inlineStr">
        <is>
          <t>2.  Invest cash from your own resources for NEW ordinary shares; record board minutes + share cert.</t>
        </is>
      </c>
      <c r="C6" s="25" t="n"/>
      <c r="D6" s="25" t="n"/>
      <c r="E6" s="11" t="n"/>
    </row>
    <row r="7" ht="30" customHeight="1">
      <c r="B7" s="7" t="inlineStr">
        <is>
          <t>3.  Take up full-time director/employee role within 6 months of the share issue.</t>
        </is>
      </c>
      <c r="C7" s="25" t="n"/>
      <c r="D7" s="25" t="n"/>
      <c r="E7" s="9" t="n"/>
    </row>
    <row r="8" ht="19" customHeight="1">
      <c r="B8" s="10" t="inlineStr">
        <is>
          <t>4.  Company issues you a SURE/EII Statement of Qualification.</t>
        </is>
      </c>
      <c r="C8" s="25" t="n"/>
      <c r="D8" s="25" t="n"/>
      <c r="E8" s="11" t="n"/>
    </row>
    <row r="9" ht="19" customHeight="1">
      <c r="B9" s="7" t="inlineStr">
        <is>
          <t>5.  Claim the refund via Revenue (IT15 guide) for the relevant years.</t>
        </is>
      </c>
      <c r="C9" s="25" t="n"/>
      <c r="D9" s="25" t="n"/>
      <c r="E9" s="9" t="n"/>
    </row>
    <row r="10" ht="19" customHeight="1">
      <c r="B10" s="10" t="inlineStr">
        <is>
          <t>6.  Keep all records 6 years; do not dispose of shares for 4 years (clawback).</t>
        </is>
      </c>
      <c r="C10" s="25" t="n"/>
      <c r="D10" s="25" t="n"/>
      <c r="E10" s="11" t="n"/>
    </row>
    <row r="11"/>
    <row r="12" ht="24" customHeight="1">
      <c r="B12" s="5" t="inlineStr">
        <is>
          <t>DOCUMENTS TO KEEP</t>
        </is>
      </c>
      <c r="C12" s="6" t="n"/>
      <c r="D12" s="6" t="n"/>
    </row>
    <row r="13" ht="19" customHeight="1">
      <c r="B13" s="26" t="inlineStr">
        <is>
          <t>P60 / P21 for each relevant prior year</t>
        </is>
      </c>
      <c r="C13" s="25" t="n"/>
      <c r="D13" s="8" t="inlineStr">
        <is>
          <t>☐ To do</t>
        </is>
      </c>
    </row>
    <row r="14" ht="19" customHeight="1">
      <c r="B14" s="27" t="inlineStr">
        <is>
          <t>Share certificate + updated shareholder register</t>
        </is>
      </c>
      <c r="C14" s="25" t="n"/>
      <c r="D14" s="8" t="inlineStr">
        <is>
          <t>☐ To do</t>
        </is>
      </c>
    </row>
    <row r="15" ht="19" customHeight="1">
      <c r="B15" s="26" t="inlineStr">
        <is>
          <t>Board minutes recording the share issue</t>
        </is>
      </c>
      <c r="C15" s="25" t="n"/>
      <c r="D15" s="8" t="inlineStr">
        <is>
          <t>☐ To do</t>
        </is>
      </c>
    </row>
    <row r="16" ht="19" customHeight="1">
      <c r="B16" s="27" t="inlineStr">
        <is>
          <t>SURE / EII Statement of Qualification from the company</t>
        </is>
      </c>
      <c r="C16" s="25" t="n"/>
      <c r="D16" s="8" t="inlineStr">
        <is>
          <t>☐ To do</t>
        </is>
      </c>
    </row>
    <row r="17" ht="19" customHeight="1">
      <c r="B17" s="26" t="inlineStr">
        <is>
          <t>Evidence of full-time engagement within 6 months</t>
        </is>
      </c>
      <c r="C17" s="25" t="n"/>
      <c r="D17" s="8" t="inlineStr">
        <is>
          <t>☐ To do</t>
        </is>
      </c>
    </row>
    <row r="18"/>
    <row r="19" ht="24" customHeight="1">
      <c r="B19" s="5" t="inlineStr">
        <is>
          <t>CONTACTS &amp; RELATED RELIEF</t>
        </is>
      </c>
      <c r="C19" s="6" t="n"/>
      <c r="D19" s="6" t="n"/>
      <c r="E19" s="6" t="n"/>
    </row>
    <row r="20" ht="30" customHeight="1">
      <c r="B20" s="4" t="inlineStr">
        <is>
          <t xml:space="preserve">  Revenue SURE admin: SUREadmin@revenue.ie · guide IT15</t>
        </is>
      </c>
    </row>
    <row r="21" ht="30" customHeight="1">
      <c r="B21" s="4" t="inlineStr">
        <is>
          <t xml:space="preserve">  Online estimator: sure.gov.ie</t>
        </is>
      </c>
    </row>
    <row r="22" ht="30" customHeight="1">
      <c r="B22" s="4" t="inlineStr">
        <is>
          <t xml:space="preserve">  Related: §486C start-up corporation-tax relief (first 5 yrs, linked to employer PRSI)</t>
        </is>
      </c>
    </row>
    <row r="23"/>
    <row r="24" ht="22" customHeight="1">
      <c r="B24" s="14" t="inlineStr">
        <is>
          <t>ASSET-FORGE · LEANTA Turnkey Pack · Boutique Hotel · v1.0 · 04/06/2026 · SURE · claim</t>
        </is>
      </c>
    </row>
  </sheetData>
  <mergeCells count="20">
    <mergeCell ref="B16:C16"/>
    <mergeCell ref="B8:D8"/>
    <mergeCell ref="B24:K24"/>
    <mergeCell ref="B20:E20"/>
    <mergeCell ref="B10:D10"/>
    <mergeCell ref="B4:E4"/>
    <mergeCell ref="B9:D9"/>
    <mergeCell ref="B14:C14"/>
    <mergeCell ref="B17:C17"/>
    <mergeCell ref="B6:D6"/>
    <mergeCell ref="B22:E22"/>
    <mergeCell ref="B13:C13"/>
    <mergeCell ref="B5:D5"/>
    <mergeCell ref="B21:E21"/>
    <mergeCell ref="B2:E2"/>
    <mergeCell ref="B7:D7"/>
    <mergeCell ref="B1:E1"/>
    <mergeCell ref="B15:C15"/>
    <mergeCell ref="B19:E19"/>
    <mergeCell ref="B12:D12"/>
  </mergeCells>
  <dataValidations count="1">
    <dataValidation sqref="D13 D14 D15 D16 D17" showDropDown="0" showInputMessage="0" showErrorMessage="0" allowBlank="1" type="list">
      <formula1>"☐ To do,☑ Ready,n/a"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SURE — Start-Up Refunds for Entrepreneurs</dc:title>
  <dcterms:created xsi:type="dcterms:W3CDTF">2026-06-04T13:20:16Z</dcterms:created>
  <dcterms:modified xsi:type="dcterms:W3CDTF">2026-06-04T13:20:16Z</dcterms:modified>
</cp:coreProperties>
</file>