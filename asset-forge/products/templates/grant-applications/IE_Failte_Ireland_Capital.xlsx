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 Grant Outline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0.0%"/>
    <numFmt numFmtId="166" formatCode="#,##0\ &quot;€&quot;"/>
  </numFmts>
  <fonts count="14">
    <font>
      <name val="Calibri"/>
      <family val="2"/>
      <color theme="1"/>
      <sz val="11"/>
      <scheme val="minor"/>
    </font>
    <font>
      <name val="Calibri Light"/>
      <b val="1"/>
      <color rgb="001A2B45"/>
      <sz val="22"/>
    </font>
    <font>
      <name val="Calibri"/>
      <color rgb="006B7280"/>
      <sz val="11"/>
    </font>
    <font>
      <name val="Calibri"/>
      <b val="1"/>
      <color rgb="002D6CDF"/>
      <sz val="10.5"/>
    </font>
    <font>
      <name val="Calibri"/>
      <color rgb="001A2B45"/>
      <sz val="10"/>
    </font>
    <font>
      <name val="Calibri"/>
      <i val="1"/>
      <color rgb="006B7280"/>
      <sz val="8.5"/>
    </font>
    <font>
      <name val="Calibri"/>
      <b val="1"/>
      <color rgb="001A2B45"/>
      <sz val="9.5"/>
    </font>
    <font>
      <name val="Calibri"/>
      <b val="1"/>
      <color rgb="002D6CDF"/>
      <sz val="10"/>
    </font>
    <font>
      <name val="Calibri"/>
      <color rgb="001A2B45"/>
      <sz val="9.5"/>
    </font>
    <font>
      <name val="Calibri"/>
      <b val="1"/>
      <color rgb="001A2B45"/>
      <sz val="10"/>
    </font>
    <font>
      <name val="Calibri"/>
      <i val="1"/>
      <color rgb="001A2B45"/>
      <sz val="9.5"/>
    </font>
    <font>
      <name val="Calibri"/>
      <i val="1"/>
      <color rgb="009AA3B0"/>
      <sz val="8"/>
    </font>
    <font>
      <name val="Calibri"/>
      <b val="1"/>
      <color rgb="00FFFFFF"/>
      <sz val="10"/>
    </font>
    <font>
      <name val="Calibri"/>
      <b val="1"/>
      <color rgb="002D6CDF"/>
      <sz val="9.5"/>
    </font>
  </fonts>
  <fills count="7">
    <fill>
      <patternFill/>
    </fill>
    <fill>
      <patternFill patternType="gray125"/>
    </fill>
    <fill>
      <patternFill patternType="solid">
        <fgColor rgb="0015A38C"/>
      </patternFill>
    </fill>
    <fill>
      <patternFill patternType="solid">
        <fgColor rgb="00FFF7E6"/>
      </patternFill>
    </fill>
    <fill>
      <patternFill patternType="solid">
        <fgColor rgb="00E9F0FA"/>
      </patternFill>
    </fill>
    <fill>
      <patternFill patternType="solid">
        <fgColor rgb="00F4F7FB"/>
      </patternFill>
    </fill>
    <fill>
      <patternFill patternType="solid">
        <fgColor rgb="002D6CDF"/>
      </patternFill>
    </fill>
  </fills>
  <borders count="6">
    <border>
      <left/>
      <right/>
      <top/>
      <bottom/>
      <diagonal/>
    </border>
    <border>
      <bottom style="thin">
        <color rgb="002D6CDF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bottom style="thin">
        <color rgb="0015A38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10" fillId="4" borderId="0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8" fillId="0" borderId="3" applyAlignment="1" pivotButton="0" quotePrefix="0" xfId="0">
      <alignment horizontal="left" vertical="center" indent="1"/>
    </xf>
    <xf numFmtId="0" fontId="0" fillId="0" borderId="4" pivotButton="0" quotePrefix="0" xfId="0"/>
    <xf numFmtId="0" fontId="8" fillId="4" borderId="3" applyAlignment="1" pivotButton="0" quotePrefix="0" xfId="0">
      <alignment horizontal="center" vertical="center"/>
    </xf>
    <xf numFmtId="0" fontId="8" fillId="5" borderId="3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2" fillId="6" borderId="5" applyAlignment="1" pivotButton="0" quotePrefix="0" xfId="0">
      <alignment horizontal="center" vertical="center" wrapText="1"/>
    </xf>
    <xf numFmtId="166" fontId="8" fillId="4" borderId="3" applyAlignment="1" pivotButton="0" quotePrefix="0" xfId="0">
      <alignment horizontal="left" vertical="center" indent="1"/>
    </xf>
    <xf numFmtId="166" fontId="8" fillId="3" borderId="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166" fontId="6" fillId="4" borderId="3" pivotButton="0" quotePrefix="0" xfId="0"/>
    <xf numFmtId="0" fontId="4" fillId="0" borderId="0" applyAlignment="1" pivotButton="0" quotePrefix="0" xfId="0">
      <alignment horizontal="left" vertical="center"/>
    </xf>
    <xf numFmtId="1" fontId="0" fillId="3" borderId="2" pivotButton="0" quotePrefix="0" xfId="0"/>
    <xf numFmtId="164" fontId="0" fillId="3" borderId="2" pivotButton="0" quotePrefix="0" xfId="0"/>
    <xf numFmtId="0" fontId="5" fillId="0" borderId="0" applyAlignment="1" pivotButton="0" quotePrefix="0" xfId="0">
      <alignment horizontal="left" vertical="center"/>
    </xf>
    <xf numFmtId="165" fontId="0" fillId="3" borderId="2" pivotButton="0" quotePrefix="0" xfId="0"/>
    <xf numFmtId="164" fontId="6" fillId="4" borderId="3" pivotButton="0" quotePrefix="0" xfId="0"/>
    <xf numFmtId="166" fontId="0" fillId="3" borderId="2" pivotButton="0" quotePrefix="0" xfId="0"/>
    <xf numFmtId="0" fontId="7" fillId="0" borderId="0" applyAlignment="1" pivotButton="0" quotePrefix="0" xfId="0">
      <alignment horizontal="left" vertical="center"/>
    </xf>
    <xf numFmtId="165" fontId="8" fillId="4" borderId="3" pivotButton="0" quotePrefix="0" xfId="0"/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Calibri"/>
        <color rgb="001E9E6A"/>
        <sz val="9.5"/>
      </font>
      <fill>
        <patternFill patternType="solid">
          <fgColor rgb="00E6F4EC"/>
        </patternFill>
      </fill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6CDF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2.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8" customHeight="1">
      <c r="B1" s="1" t="inlineStr">
        <is>
          <t>Fáilte Ireland — Tourism Capital Grant</t>
        </is>
      </c>
    </row>
    <row r="2" ht="20" customHeight="1">
      <c r="B2" s="2" t="inlineStr">
        <is>
          <t>Two-stage scheme for larger tourism capital projects (€200k+)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B4" s="4" t="inlineStr">
        <is>
          <t xml:space="preserve">  Capital grants for projects that grow overseas visitors, create jobs and support the destination brands. Two-stage process; State Aid rules apply. Source: failteireland.ie.</t>
        </is>
      </c>
    </row>
    <row r="5" ht="24" customHeight="1">
      <c r="B5" s="5" t="inlineStr">
        <is>
          <t>ELIGIBILITY &amp; STATE-AID SCREEN</t>
        </is>
      </c>
      <c r="C5" s="6" t="n"/>
      <c r="D5" s="6" t="n"/>
      <c r="E5" s="6" t="n"/>
      <c r="F5" s="6" t="n"/>
      <c r="G5" s="6" t="n"/>
      <c r="H5" s="6" t="n"/>
      <c r="I5" s="6" t="n"/>
    </row>
    <row r="6" ht="19" customHeight="1">
      <c r="B6" s="7" t="inlineStr">
        <is>
          <t>Project capital value ≥ €200,000</t>
        </is>
      </c>
      <c r="C6" s="8" t="n"/>
      <c r="D6" s="8" t="n"/>
      <c r="E6" s="8" t="n"/>
      <c r="F6" s="8" t="n"/>
      <c r="G6" s="9">
        <f>IF('Assumptions'!D31&gt;=200000,"PASS","Below threshold")</f>
        <v/>
      </c>
      <c r="H6" s="7" t="n"/>
      <c r="I6" s="7" t="n"/>
    </row>
    <row r="7" ht="19" customHeight="1">
      <c r="B7" s="10" t="inlineStr">
        <is>
          <t>Tax-cleared tourism business</t>
        </is>
      </c>
      <c r="C7" s="8" t="n"/>
      <c r="D7" s="8" t="n"/>
      <c r="E7" s="8" t="n"/>
      <c r="F7" s="8" t="n"/>
      <c r="G7" s="9">
        <f>IF(TRUE,"Confirm","Confirm")</f>
        <v/>
      </c>
      <c r="H7" s="10" t="n"/>
      <c r="I7" s="10" t="n"/>
    </row>
    <row r="8" ht="19" customHeight="1">
      <c r="B8" s="7" t="inlineStr">
        <is>
          <t>Grows overseas visitor / off-season demand</t>
        </is>
      </c>
      <c r="C8" s="8" t="n"/>
      <c r="D8" s="8" t="n"/>
      <c r="E8" s="8" t="n"/>
      <c r="F8" s="8" t="n"/>
      <c r="G8" s="9">
        <f>IF(TRUE,"Confirm","Confirm")</f>
        <v/>
      </c>
      <c r="H8" s="7" t="n"/>
      <c r="I8" s="7" t="n"/>
    </row>
    <row r="9" ht="19" customHeight="1">
      <c r="B9" s="10" t="inlineStr">
        <is>
          <t>Within State-Aid limits (de minimis / GBER)</t>
        </is>
      </c>
      <c r="C9" s="8" t="n"/>
      <c r="D9" s="8" t="n"/>
      <c r="E9" s="8" t="n"/>
      <c r="F9" s="8" t="n"/>
      <c r="G9" s="9">
        <f>IF(TRUE,"Confirm","Confirm")</f>
        <v/>
      </c>
      <c r="H9" s="10" t="n"/>
      <c r="I9" s="10" t="n"/>
    </row>
    <row r="10"/>
    <row r="11">
      <c r="B11" s="11" t="inlineStr">
        <is>
          <t>Project rationale</t>
        </is>
      </c>
    </row>
    <row r="12" ht="15" customHeight="1">
      <c r="B12" s="12" t="inlineStr">
        <is>
          <t xml:space="preserve">  How the project boosts overseas visitor growth, jobs and the destination brand.</t>
        </is>
      </c>
    </row>
    <row r="13" ht="46" customHeight="1">
      <c r="B13" s="13" t="n"/>
    </row>
    <row r="14" ht="24" customHeight="1">
      <c r="B14" s="5" t="inlineStr">
        <is>
          <t>CAPITAL COST SCHEDULE (AUTO-LINKED)</t>
        </is>
      </c>
      <c r="C14" s="6" t="n"/>
      <c r="D14" s="6" t="n"/>
      <c r="E14" s="6" t="n"/>
      <c r="F14" s="6" t="n"/>
      <c r="G14" s="6" t="n"/>
      <c r="H14" s="6" t="n"/>
      <c r="I14" s="6" t="n"/>
    </row>
    <row r="15" ht="30" customHeight="1">
      <c r="B15" s="14" t="inlineStr">
        <is>
          <t>Capital item</t>
        </is>
      </c>
      <c r="C15" s="14" t="inlineStr">
        <is>
          <t>Cost €</t>
        </is>
      </c>
      <c r="D15" s="14" t="inlineStr">
        <is>
          <t>Grant ask €</t>
        </is>
      </c>
      <c r="E15" s="14" t="inlineStr"/>
      <c r="F15" s="14" t="inlineStr"/>
      <c r="G15" s="14" t="inlineStr"/>
      <c r="H15" s="14" t="inlineStr"/>
      <c r="I15" s="14" t="inlineStr"/>
    </row>
    <row r="16" ht="19" customHeight="1">
      <c r="B16" s="7" t="inlineStr">
        <is>
          <t>Lease deposit &amp; legal</t>
        </is>
      </c>
      <c r="C16" s="7" t="n"/>
      <c r="D16" s="15">
        <f>INDEX('Assumptions'!D23:D30,MATCH(B16,'Assumptions'!B23:B30,0))</f>
        <v/>
      </c>
      <c r="E16" s="7" t="n"/>
      <c r="F16" s="16" t="n"/>
      <c r="G16" s="7" t="n"/>
      <c r="H16" s="7" t="n"/>
      <c r="I16" s="7" t="n"/>
    </row>
    <row r="17" ht="19" customHeight="1">
      <c r="B17" s="10" t="inlineStr">
        <is>
          <t>Building refurbishment &amp; fit-out</t>
        </is>
      </c>
      <c r="C17" s="10" t="n"/>
      <c r="D17" s="15">
        <f>INDEX('Assumptions'!D23:D30,MATCH(B17,'Assumptions'!B23:B30,0))</f>
        <v/>
      </c>
      <c r="E17" s="10" t="n"/>
      <c r="F17" s="16" t="n"/>
      <c r="G17" s="10" t="n"/>
      <c r="H17" s="10" t="n"/>
      <c r="I17" s="10" t="n"/>
    </row>
    <row r="18" ht="19" customHeight="1">
      <c r="B18" s="7" t="inlineStr">
        <is>
          <t>FF&amp;E (rooms, beds, furniture)</t>
        </is>
      </c>
      <c r="C18" s="7" t="n"/>
      <c r="D18" s="15">
        <f>INDEX('Assumptions'!D23:D30,MATCH(B18,'Assumptions'!B23:B30,0))</f>
        <v/>
      </c>
      <c r="E18" s="7" t="n"/>
      <c r="F18" s="16" t="n"/>
      <c r="G18" s="7" t="n"/>
      <c r="H18" s="7" t="n"/>
      <c r="I18" s="7" t="n"/>
    </row>
    <row r="19" ht="19" customHeight="1">
      <c r="B19" s="10" t="inlineStr">
        <is>
          <t>Kitchen &amp; F&amp;B equipment</t>
        </is>
      </c>
      <c r="C19" s="10" t="n"/>
      <c r="D19" s="15">
        <f>INDEX('Assumptions'!D23:D30,MATCH(B19,'Assumptions'!B23:B30,0))</f>
        <v/>
      </c>
      <c r="E19" s="10" t="n"/>
      <c r="F19" s="16" t="n"/>
      <c r="G19" s="10" t="n"/>
      <c r="H19" s="10" t="n"/>
      <c r="I19" s="10" t="n"/>
    </row>
    <row r="20" ht="19" customHeight="1">
      <c r="B20" s="7" t="inlineStr">
        <is>
          <t>IT, PMS, POS &amp; networking</t>
        </is>
      </c>
      <c r="C20" s="7" t="n"/>
      <c r="D20" s="15">
        <f>INDEX('Assumptions'!D23:D30,MATCH(B20,'Assumptions'!B23:B30,0))</f>
        <v/>
      </c>
      <c r="E20" s="7" t="n"/>
      <c r="F20" s="16" t="n"/>
      <c r="G20" s="7" t="n"/>
      <c r="H20" s="7" t="n"/>
      <c r="I20" s="7" t="n"/>
    </row>
    <row r="21" ht="19" customHeight="1">
      <c r="B21" s="10" t="inlineStr">
        <is>
          <t>Branding, signage &amp; website</t>
        </is>
      </c>
      <c r="C21" s="10" t="n"/>
      <c r="D21" s="15">
        <f>INDEX('Assumptions'!D23:D30,MATCH(B21,'Assumptions'!B23:B30,0))</f>
        <v/>
      </c>
      <c r="E21" s="10" t="n"/>
      <c r="F21" s="16" t="n"/>
      <c r="G21" s="10" t="n"/>
      <c r="H21" s="10" t="n"/>
      <c r="I21" s="10" t="n"/>
    </row>
    <row r="22" ht="19" customHeight="1">
      <c r="B22" s="7" t="inlineStr">
        <is>
          <t>Pre-opening payroll &amp; training</t>
        </is>
      </c>
      <c r="C22" s="7" t="n"/>
      <c r="D22" s="15">
        <f>INDEX('Assumptions'!D23:D30,MATCH(B22,'Assumptions'!B23:B30,0))</f>
        <v/>
      </c>
      <c r="E22" s="7" t="n"/>
      <c r="F22" s="16" t="n"/>
      <c r="G22" s="7" t="n"/>
      <c r="H22" s="7" t="n"/>
      <c r="I22" s="7" t="n"/>
    </row>
    <row r="23" ht="19" customHeight="1">
      <c r="B23" s="10" t="inlineStr">
        <is>
          <t>Working capital buffer</t>
        </is>
      </c>
      <c r="C23" s="10" t="n"/>
      <c r="D23" s="15">
        <f>INDEX('Assumptions'!D23:D30,MATCH(B23,'Assumptions'!B23:B30,0))</f>
        <v/>
      </c>
      <c r="E23" s="10" t="n"/>
      <c r="F23" s="16" t="n"/>
      <c r="G23" s="10" t="n"/>
      <c r="H23" s="10" t="n"/>
      <c r="I23" s="10" t="n"/>
    </row>
    <row r="24">
      <c r="B24" s="17" t="inlineStr">
        <is>
          <t>Total project / grant ask</t>
        </is>
      </c>
      <c r="D24" s="18">
        <f>SUM(D16:D23)</f>
        <v/>
      </c>
      <c r="F24" s="18">
        <f>SUM(F16:F23)</f>
        <v/>
      </c>
    </row>
    <row r="25" ht="19" customHeight="1">
      <c r="B25" s="11" t="inlineStr">
        <is>
          <t>Match-funding (own + other)</t>
        </is>
      </c>
      <c r="D25" s="18">
        <f>'Assumptions'!D38-SUM(F16:F23)</f>
        <v/>
      </c>
    </row>
  </sheetData>
  <mergeCells count="12">
    <mergeCell ref="B12:I12"/>
    <mergeCell ref="B13:I13"/>
    <mergeCell ref="D25:E25"/>
    <mergeCell ref="B7:F7"/>
    <mergeCell ref="B6:F6"/>
    <mergeCell ref="B2:I2"/>
    <mergeCell ref="B5:I5"/>
    <mergeCell ref="B14:I14"/>
    <mergeCell ref="B8:F8"/>
    <mergeCell ref="B1:I1"/>
    <mergeCell ref="B9:F9"/>
    <mergeCell ref="B4:I4"/>
  </mergeCells>
  <conditionalFormatting sqref="G6">
    <cfRule type="cellIs" priority="1" operator="equal" dxfId="0">
      <formula>"PASS"</formula>
    </cfRule>
  </conditionalFormatting>
  <conditionalFormatting sqref="G7">
    <cfRule type="cellIs" priority="2" operator="equal" dxfId="0">
      <formula>"PASS"</formula>
    </cfRule>
  </conditionalFormatting>
  <conditionalFormatting sqref="G8">
    <cfRule type="cellIs" priority="3" operator="equal" dxfId="0">
      <formula>"PASS"</formula>
    </cfRule>
  </conditionalFormatting>
  <conditionalFormatting sqref="G9">
    <cfRule type="cellIs" priority="4" operator="equal" dxfId="0">
      <formula>"PASS"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2B45"/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5.4" customWidth="1" min="2" max="2"/>
    <col width="4" customWidth="1" min="3" max="3"/>
    <col width="18" customWidth="1" min="4" max="4"/>
    <col width="14" customWidth="1" min="5" max="5"/>
    <col width="2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Assumptions &amp; Inputs</t>
        </is>
      </c>
    </row>
    <row r="2" ht="20" customHeight="1">
      <c r="B2" s="2" t="inlineStr">
        <is>
          <t>Single source of truth — edit the orange cells; everything links here</t>
        </is>
      </c>
    </row>
    <row r="3" ht="3" customHeight="1">
      <c r="B3" s="3" t="n"/>
      <c r="C3" s="3" t="n"/>
      <c r="D3" s="3" t="n"/>
      <c r="E3" s="3" t="n"/>
      <c r="F3" s="3" t="n"/>
    </row>
    <row r="4" ht="24" customHeight="1">
      <c r="B4" s="5" t="inlineStr">
        <is>
          <t>DEMAND &amp; RATE</t>
        </is>
      </c>
      <c r="C4" s="6" t="n"/>
      <c r="D4" s="6" t="n"/>
      <c r="E4" s="6" t="n"/>
      <c r="F4" s="6" t="n"/>
    </row>
    <row r="5" ht="18" customHeight="1">
      <c r="B5" s="19" t="inlineStr">
        <is>
          <t>Rooms available</t>
        </is>
      </c>
      <c r="D5" s="20" t="n">
        <v>24</v>
      </c>
    </row>
    <row r="6" ht="18" customHeight="1">
      <c r="B6" s="19" t="inlineStr">
        <is>
          <t>ADR — average daily rate</t>
        </is>
      </c>
      <c r="D6" s="21" t="n">
        <v>135</v>
      </c>
      <c r="F6" s="22" t="inlineStr">
        <is>
          <t>4★ boutique IE €110–180</t>
        </is>
      </c>
    </row>
    <row r="7" ht="18" customHeight="1">
      <c r="B7" s="19" t="inlineStr">
        <is>
          <t>Occupancy</t>
        </is>
      </c>
      <c r="D7" s="23" t="n">
        <v>0.72</v>
      </c>
      <c r="F7" s="22" t="inlineStr">
        <is>
          <t>annualised; 65–80% typical</t>
        </is>
      </c>
    </row>
    <row r="8" ht="18" customHeight="1">
      <c r="B8" s="19" t="inlineStr">
        <is>
          <t>RevPAR (ADR × occupancy)</t>
        </is>
      </c>
      <c r="D8" s="24">
        <f>'Assumptions'!D6*'Assumptions'!D7</f>
        <v/>
      </c>
    </row>
    <row r="9" ht="18" customHeight="1">
      <c r="B9" s="19" t="inlineStr">
        <is>
          <t>F&amp;B + other revenue (% of rooms)</t>
        </is>
      </c>
      <c r="D9" s="23" t="n">
        <v>0.28</v>
      </c>
    </row>
    <row r="10" ht="18" customHeight="1">
      <c r="B10" s="19" t="inlineStr">
        <is>
          <t>Rooms revenue / yr</t>
        </is>
      </c>
      <c r="D10" s="18">
        <f>'Assumptions'!D5*365*'Assumptions'!D8</f>
        <v/>
      </c>
    </row>
    <row r="11" ht="18" customHeight="1">
      <c r="B11" s="19" t="inlineStr">
        <is>
          <t>Total revenue / yr</t>
        </is>
      </c>
      <c r="D11" s="18">
        <f>'Assumptions'!D10*(1+'Assumptions'!D9)</f>
        <v/>
      </c>
    </row>
    <row r="12"/>
    <row r="13" ht="24" customHeight="1">
      <c r="B13" s="5" t="inlineStr">
        <is>
          <t>COST RATIOS</t>
        </is>
      </c>
      <c r="C13" s="6" t="n"/>
      <c r="D13" s="6" t="n"/>
      <c r="E13" s="6" t="n"/>
      <c r="F13" s="6" t="n"/>
    </row>
    <row r="14" ht="18" customHeight="1">
      <c r="B14" s="19" t="inlineStr">
        <is>
          <t>Payroll (% of total revenue)</t>
        </is>
      </c>
      <c r="D14" s="23" t="n">
        <v>0.3</v>
      </c>
    </row>
    <row r="15" ht="18" customHeight="1">
      <c r="B15" s="19" t="inlineStr">
        <is>
          <t>F&amp;B cost (% of F&amp;B revenue)</t>
        </is>
      </c>
      <c r="D15" s="23" t="n">
        <v>0.3</v>
      </c>
    </row>
    <row r="16" ht="18" customHeight="1">
      <c r="B16" s="19" t="inlineStr">
        <is>
          <t>Rooms cost (% of rooms revenue)</t>
        </is>
      </c>
      <c r="D16" s="23" t="n">
        <v>0.1</v>
      </c>
    </row>
    <row r="17" ht="18" customHeight="1">
      <c r="B17" s="19" t="inlineStr">
        <is>
          <t>Utilities (% of total revenue)</t>
        </is>
      </c>
      <c r="D17" s="23" t="n">
        <v>0.05</v>
      </c>
    </row>
    <row r="18" ht="18" customHeight="1">
      <c r="B18" s="19" t="inlineStr">
        <is>
          <t>Sales &amp; marketing (% of revenue)</t>
        </is>
      </c>
      <c r="D18" s="23" t="n">
        <v>0.06</v>
      </c>
    </row>
    <row r="19" ht="18" customHeight="1">
      <c r="B19" s="19" t="inlineStr">
        <is>
          <t>Admin &amp; general (% of revenue)</t>
        </is>
      </c>
      <c r="D19" s="23" t="n">
        <v>0.05</v>
      </c>
    </row>
    <row r="20" ht="18" customHeight="1">
      <c r="B20" s="19" t="inlineStr">
        <is>
          <t>Property: rent/rates/insurance (%)</t>
        </is>
      </c>
      <c r="D20" s="23" t="n">
        <v>0.12</v>
      </c>
    </row>
    <row r="21"/>
    <row r="22" ht="24" customHeight="1">
      <c r="B22" s="5" t="inlineStr">
        <is>
          <t>CAPITAL EXPENDITURE (FIT-OUT LED — LEASED PROPERTY)</t>
        </is>
      </c>
      <c r="C22" s="6" t="n"/>
      <c r="D22" s="6" t="n"/>
      <c r="E22" s="6" t="n"/>
      <c r="F22" s="6" t="n"/>
    </row>
    <row r="23" ht="18" customHeight="1">
      <c r="B23" s="19" t="inlineStr">
        <is>
          <t>Lease deposit &amp; legal</t>
        </is>
      </c>
      <c r="D23" s="25" t="n">
        <v>45000</v>
      </c>
    </row>
    <row r="24" ht="18" customHeight="1">
      <c r="B24" s="19" t="inlineStr">
        <is>
          <t>Building refurbishment &amp; fit-out</t>
        </is>
      </c>
      <c r="D24" s="25" t="n">
        <v>240000</v>
      </c>
    </row>
    <row r="25" ht="18" customHeight="1">
      <c r="B25" s="19" t="inlineStr">
        <is>
          <t>FF&amp;E (rooms, beds, furniture)</t>
        </is>
      </c>
      <c r="D25" s="25" t="n">
        <v>120000</v>
      </c>
    </row>
    <row r="26" ht="18" customHeight="1">
      <c r="B26" s="19" t="inlineStr">
        <is>
          <t>Kitchen &amp; F&amp;B equipment</t>
        </is>
      </c>
      <c r="D26" s="25" t="n">
        <v>55000</v>
      </c>
    </row>
    <row r="27" ht="18" customHeight="1">
      <c r="B27" s="19" t="inlineStr">
        <is>
          <t>IT, PMS, POS &amp; networking</t>
        </is>
      </c>
      <c r="D27" s="25" t="n">
        <v>30000</v>
      </c>
    </row>
    <row r="28" ht="18" customHeight="1">
      <c r="B28" s="19" t="inlineStr">
        <is>
          <t>Branding, signage &amp; website</t>
        </is>
      </c>
      <c r="D28" s="25" t="n">
        <v>25000</v>
      </c>
    </row>
    <row r="29" ht="18" customHeight="1">
      <c r="B29" s="19" t="inlineStr">
        <is>
          <t>Pre-opening payroll &amp; training</t>
        </is>
      </c>
      <c r="D29" s="25" t="n">
        <v>35000</v>
      </c>
    </row>
    <row r="30" ht="18" customHeight="1">
      <c r="B30" s="19" t="inlineStr">
        <is>
          <t>Working capital buffer</t>
        </is>
      </c>
      <c r="D30" s="25" t="n">
        <v>50000</v>
      </c>
    </row>
    <row r="31">
      <c r="B31" s="26" t="inlineStr">
        <is>
          <t>Total capex required</t>
        </is>
      </c>
      <c r="D31" s="18">
        <f>SUM(D23:D30)</f>
        <v/>
      </c>
    </row>
    <row r="32"/>
    <row r="33" ht="24" customHeight="1">
      <c r="B33" s="5" t="inlineStr">
        <is>
          <t>FUNDING MIX</t>
        </is>
      </c>
      <c r="C33" s="6" t="n"/>
      <c r="D33" s="6" t="n"/>
      <c r="E33" s="6" t="n"/>
      <c r="F33" s="6" t="n"/>
    </row>
    <row r="34" ht="18" customHeight="1">
      <c r="B34" s="19" t="inlineStr">
        <is>
          <t>Founder equity (incl. SURE refund)</t>
        </is>
      </c>
      <c r="D34" s="25" t="n">
        <v>180000</v>
      </c>
      <c r="F34" s="27">
        <f>IF($D$34="","",D34/SUM($D$34:$D$37))</f>
        <v/>
      </c>
    </row>
    <row r="35" ht="18" customHeight="1">
      <c r="B35" s="19" t="inlineStr">
        <is>
          <t>LEO Priming grant</t>
        </is>
      </c>
      <c r="D35" s="25" t="n">
        <v>80000</v>
      </c>
      <c r="F35" s="27">
        <f>IF($D$35="","",D35/SUM($D$34:$D$37))</f>
        <v/>
      </c>
    </row>
    <row r="36" ht="18" customHeight="1">
      <c r="B36" s="19" t="inlineStr">
        <is>
          <t>Bank / SBCI term loan</t>
        </is>
      </c>
      <c r="D36" s="25" t="n">
        <v>300000</v>
      </c>
      <c r="F36" s="27">
        <f>IF($D$36="","",D36/SUM($D$34:$D$37))</f>
        <v/>
      </c>
    </row>
    <row r="37" ht="18" customHeight="1">
      <c r="B37" s="19" t="inlineStr">
        <is>
          <t>Microfinance Ireland loan</t>
        </is>
      </c>
      <c r="D37" s="25" t="n">
        <v>40000</v>
      </c>
      <c r="F37" s="27">
        <f>IF($D$37="","",D37/SUM($D$34:$D$37))</f>
        <v/>
      </c>
    </row>
    <row r="38">
      <c r="B38" s="26" t="inlineStr">
        <is>
          <t>Total funding raised</t>
        </is>
      </c>
      <c r="D38" s="18">
        <f>SUM(D34:D37)</f>
        <v/>
      </c>
    </row>
    <row r="39">
      <c r="B39" s="11" t="inlineStr">
        <is>
          <t>Funding vs capex (surplus/gap)</t>
        </is>
      </c>
      <c r="D39" s="18">
        <f>'Assumptions'!D38-'Assumptions'!D31</f>
        <v/>
      </c>
    </row>
    <row r="40"/>
    <row r="41" ht="24" customHeight="1">
      <c r="B41" s="5" t="inlineStr">
        <is>
          <t>SOURCES &amp; BENCHMARK NOTES</t>
        </is>
      </c>
      <c r="C41" s="6" t="n"/>
      <c r="D41" s="6" t="n"/>
      <c r="E41" s="6" t="n"/>
      <c r="F41" s="6" t="n"/>
    </row>
    <row r="42" ht="30" customHeight="1">
      <c r="B42" s="4" t="inlineStr">
        <is>
          <t xml:space="preserve">  ADR/occupancy/RevPAR benchmarks: Fáilte Ireland &amp; STR Ireland hotel performance reports (4-star/boutique ranges).</t>
        </is>
      </c>
    </row>
    <row r="43" ht="30" customHeight="1">
      <c r="B43" s="4" t="inlineStr">
        <is>
          <t xml:space="preserve">  Grant/funding figures: Local Enterprise Office (localenterprise.ie), Microfinance Ireland, SBCI, Fáilte Ireland investment schemes.</t>
        </is>
      </c>
    </row>
    <row r="44" ht="30" customHeight="1">
      <c r="B44" s="4" t="inlineStr">
        <is>
          <t xml:space="preserve">  Cost ratios (payroll ~30%, F&amp;B cost ~30%): USALI hotel P&amp;L conventions.</t>
        </is>
      </c>
    </row>
    <row r="45" ht="30" customHeight="1">
      <c r="B45" s="4" t="inlineStr">
        <is>
          <t xml:space="preserve">  Figures are seed assumptions — replace the orange cells with your own quotes and verified local data before relying on them.</t>
        </is>
      </c>
    </row>
    <row r="46"/>
    <row r="47" ht="22" customHeight="1">
      <c r="B47" s="28" t="inlineStr">
        <is>
          <t>ASSET-FORGE · LEANTA Turnkey Pack · Boutique Hotel · v1.0 · 04/06/2026</t>
        </is>
      </c>
    </row>
  </sheetData>
  <mergeCells count="12">
    <mergeCell ref="B4:F4"/>
    <mergeCell ref="B44:F44"/>
    <mergeCell ref="B43:F43"/>
    <mergeCell ref="B2:F2"/>
    <mergeCell ref="B33:F33"/>
    <mergeCell ref="B42:F42"/>
    <mergeCell ref="B45:F45"/>
    <mergeCell ref="B22:F22"/>
    <mergeCell ref="B1:F1"/>
    <mergeCell ref="B47:K47"/>
    <mergeCell ref="B41:F41"/>
    <mergeCell ref="B13:F13"/>
  </mergeCells>
  <conditionalFormatting sqref="D39">
    <cfRule type="cellIs" priority="1" operator="lessThan" dxfId="1">
      <formula>0</formula>
    </cfRule>
    <cfRule type="cellIs" priority="2" operator="greaterThanOr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 · LEANTA</dc:creator>
  <dc:title>Fáilte Ireland — tourism capital grant outline</dc:title>
  <dcterms:created xsi:type="dcterms:W3CDTF">2026-06-04T13:20:16Z</dcterms:created>
  <dcterms:modified xsi:type="dcterms:W3CDTF">2026-06-04T13:20:16Z</dcterms:modified>
</cp:coreProperties>
</file>