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pplication" sheetId="1" state="visible" r:id="rId1"/>
    <sheet name="Assumpt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#,##0.00\ &quot;€&quot;"/>
    <numFmt numFmtId="165" formatCode="0.0%"/>
    <numFmt numFmtId="166" formatCode="#,##0\ &quot;€&quot;"/>
  </numFmts>
  <fonts count="14">
    <font>
      <name val="Calibri"/>
      <family val="2"/>
      <color theme="1"/>
      <sz val="11"/>
      <scheme val="minor"/>
    </font>
    <font>
      <name val="Calibri Light"/>
      <b val="1"/>
      <color rgb="001A2B45"/>
      <sz val="22"/>
    </font>
    <font>
      <name val="Calibri"/>
      <color rgb="006B7280"/>
      <sz val="11"/>
    </font>
    <font>
      <name val="Calibri"/>
      <b val="1"/>
      <color rgb="002D6CDF"/>
      <sz val="10.5"/>
    </font>
    <font>
      <name val="Calibri"/>
      <color rgb="001A2B45"/>
      <sz val="10"/>
    </font>
    <font>
      <name val="Calibri"/>
      <i val="1"/>
      <color rgb="006B7280"/>
      <sz val="8.5"/>
    </font>
    <font>
      <name val="Calibri"/>
      <b val="1"/>
      <color rgb="001A2B45"/>
      <sz val="9.5"/>
    </font>
    <font>
      <name val="Calibri"/>
      <b val="1"/>
      <color rgb="002D6CDF"/>
      <sz val="10"/>
    </font>
    <font>
      <name val="Calibri"/>
      <color rgb="001A2B45"/>
      <sz val="9.5"/>
    </font>
    <font>
      <name val="Calibri"/>
      <b val="1"/>
      <color rgb="001A2B45"/>
      <sz val="10"/>
    </font>
    <font>
      <name val="Calibri"/>
      <i val="1"/>
      <color rgb="001A2B45"/>
      <sz val="9.5"/>
    </font>
    <font>
      <name val="Calibri"/>
      <i val="1"/>
      <color rgb="009AA3B0"/>
      <sz val="8"/>
    </font>
    <font>
      <name val="Calibri"/>
      <b val="1"/>
      <color rgb="00FFFFFF"/>
      <sz val="10"/>
    </font>
    <font>
      <name val="Calibri"/>
      <b val="1"/>
      <color rgb="002D6CDF"/>
      <sz val="9.5"/>
    </font>
  </fonts>
  <fills count="7">
    <fill>
      <patternFill/>
    </fill>
    <fill>
      <patternFill patternType="gray125"/>
    </fill>
    <fill>
      <patternFill patternType="solid">
        <fgColor rgb="0015A38C"/>
      </patternFill>
    </fill>
    <fill>
      <patternFill patternType="solid">
        <fgColor rgb="00FFF7E6"/>
      </patternFill>
    </fill>
    <fill>
      <patternFill patternType="solid">
        <fgColor rgb="00E9F0FA"/>
      </patternFill>
    </fill>
    <fill>
      <patternFill patternType="solid">
        <fgColor rgb="002D6CDF"/>
      </patternFill>
    </fill>
    <fill>
      <patternFill patternType="solid">
        <fgColor rgb="00F4F7FB"/>
      </patternFill>
    </fill>
  </fills>
  <borders count="6">
    <border>
      <left/>
      <right/>
      <top/>
      <bottom/>
      <diagonal/>
    </border>
    <border>
      <bottom style="thin">
        <color rgb="002D6CDF"/>
      </bottom>
    </border>
    <border>
      <left style="thin">
        <color rgb="00EBD49B"/>
      </left>
      <right style="thin">
        <color rgb="00EBD49B"/>
      </right>
      <top style="thin">
        <color rgb="00EBD49B"/>
      </top>
      <bottom style="thin">
        <color rgb="00EBD49B"/>
      </bottom>
    </border>
    <border>
      <bottom style="thin">
        <color rgb="00DCE3ED"/>
      </bottom>
    </border>
    <border>
      <bottom style="thin">
        <color rgb="0015A38C"/>
      </bottom>
    </border>
    <border>
      <left/>
      <right/>
      <top/>
      <bottom style="thin">
        <color rgb="00DCE3ED"/>
      </bottom>
      <diagonal/>
    </border>
  </borders>
  <cellStyleXfs count="1">
    <xf numFmtId="0" fontId="0" fillId="0" borderId="0"/>
  </cellStyleXfs>
  <cellXfs count="33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0" borderId="0" applyAlignment="1" pivotButton="0" quotePrefix="0" xfId="0">
      <alignment horizontal="left" vertical="center"/>
    </xf>
    <xf numFmtId="0" fontId="0" fillId="2" borderId="0" pivotButton="0" quotePrefix="0" xfId="0"/>
    <xf numFmtId="0" fontId="10" fillId="4" borderId="0" applyAlignment="1" pivotButton="0" quotePrefix="0" xfId="0">
      <alignment horizontal="left" vertical="center" wrapText="1" indent="1"/>
    </xf>
    <xf numFmtId="0" fontId="3" fillId="0" borderId="1" applyAlignment="1" pivotButton="0" quotePrefix="0" xfId="0">
      <alignment horizontal="left" vertical="center"/>
    </xf>
    <xf numFmtId="0" fontId="0" fillId="0" borderId="1" pivotButton="0" quotePrefix="0" xfId="0"/>
    <xf numFmtId="0" fontId="4" fillId="0" borderId="0" applyAlignment="1" pivotButton="0" quotePrefix="0" xfId="0">
      <alignment horizontal="left" vertical="center"/>
    </xf>
    <xf numFmtId="0" fontId="0" fillId="3" borderId="2" pivotButton="0" quotePrefix="0" xfId="0"/>
    <xf numFmtId="0" fontId="9" fillId="0" borderId="0" applyAlignment="1" pivotButton="0" quotePrefix="0" xfId="0">
      <alignment horizontal="left" vertical="center"/>
    </xf>
    <xf numFmtId="0" fontId="5" fillId="0" borderId="0" applyAlignment="1" pivotButton="0" quotePrefix="0" xfId="0">
      <alignment horizontal="left" vertical="top" wrapText="1"/>
    </xf>
    <xf numFmtId="0" fontId="0" fillId="3" borderId="2" applyAlignment="1" pivotButton="0" quotePrefix="0" xfId="0">
      <alignment horizontal="left" vertical="top" wrapText="1"/>
    </xf>
    <xf numFmtId="0" fontId="12" fillId="5" borderId="4" applyAlignment="1" pivotButton="0" quotePrefix="0" xfId="0">
      <alignment horizontal="center" vertical="center" wrapText="1"/>
    </xf>
    <xf numFmtId="0" fontId="8" fillId="0" borderId="3" applyAlignment="1" pivotButton="0" quotePrefix="0" xfId="0">
      <alignment horizontal="left" vertical="center" indent="1"/>
    </xf>
    <xf numFmtId="166" fontId="8" fillId="4" borderId="3" applyAlignment="1" pivotButton="0" quotePrefix="0" xfId="0">
      <alignment horizontal="left" vertical="center" indent="1"/>
    </xf>
    <xf numFmtId="0" fontId="8" fillId="3" borderId="2" applyAlignment="1" pivotButton="0" quotePrefix="0" xfId="0">
      <alignment horizontal="left" vertical="center" indent="1"/>
    </xf>
    <xf numFmtId="0" fontId="8" fillId="6" borderId="3" applyAlignment="1" pivotButton="0" quotePrefix="0" xfId="0">
      <alignment horizontal="left" vertical="center" indent="1"/>
    </xf>
    <xf numFmtId="0" fontId="13" fillId="0" borderId="0" applyAlignment="1" pivotButton="0" quotePrefix="0" xfId="0">
      <alignment horizontal="left" vertical="center"/>
    </xf>
    <xf numFmtId="166" fontId="6" fillId="4" borderId="3" pivotButton="0" quotePrefix="0" xfId="0"/>
    <xf numFmtId="165" fontId="0" fillId="3" borderId="2" pivotButton="0" quotePrefix="0" xfId="0"/>
    <xf numFmtId="1" fontId="0" fillId="3" borderId="2" pivotButton="0" quotePrefix="0" xfId="0"/>
    <xf numFmtId="166" fontId="0" fillId="3" borderId="2" pivotButton="0" quotePrefix="0" xfId="0"/>
    <xf numFmtId="0" fontId="7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 vertical="center"/>
    </xf>
    <xf numFmtId="166" fontId="8" fillId="4" borderId="3" pivotButton="0" quotePrefix="0" xfId="0"/>
    <xf numFmtId="0" fontId="8" fillId="0" borderId="3" applyAlignment="1" pivotButton="0" quotePrefix="0" xfId="0">
      <alignment horizontal="left" vertical="center" indent="1"/>
    </xf>
    <xf numFmtId="0" fontId="0" fillId="0" borderId="5" pivotButton="0" quotePrefix="0" xfId="0"/>
    <xf numFmtId="0" fontId="8" fillId="6" borderId="3" applyAlignment="1" pivotButton="0" quotePrefix="0" xfId="0">
      <alignment horizontal="left" vertical="center" indent="1"/>
    </xf>
    <xf numFmtId="164" fontId="0" fillId="3" borderId="2" pivotButton="0" quotePrefix="0" xfId="0"/>
    <xf numFmtId="0" fontId="5" fillId="0" borderId="0" applyAlignment="1" pivotButton="0" quotePrefix="0" xfId="0">
      <alignment horizontal="left" vertical="center"/>
    </xf>
    <xf numFmtId="164" fontId="6" fillId="4" borderId="3" pivotButton="0" quotePrefix="0" xfId="0"/>
    <xf numFmtId="165" fontId="8" fillId="4" borderId="3" pivotButton="0" quotePrefix="0" xfId="0"/>
    <xf numFmtId="0" fontId="11" fillId="0" borderId="0" applyAlignment="1" pivotButton="0" quotePrefix="0" xfId="0">
      <alignment horizontal="left" vertical="center"/>
    </xf>
  </cellXfs>
  <cellStyles count="1">
    <cellStyle name="Normal" xfId="0" builtinId="0" hidden="0"/>
  </cellStyles>
  <dxfs count="2">
    <dxf>
      <font>
        <name val="Calibri"/>
        <b val="1"/>
        <color rgb="00C0392B"/>
        <sz val="9.5"/>
      </font>
      <fill>
        <patternFill patternType="solid">
          <fgColor rgb="00F8E1DD"/>
        </patternFill>
      </fill>
    </dxf>
    <dxf>
      <font>
        <name val="Calibri"/>
        <color rgb="001E9E6A"/>
        <sz val="9.5"/>
      </font>
      <fill>
        <patternFill patternType="solid">
          <fgColor rgb="00E6F4EC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2D6CDF"/>
    <outlinePr summaryBelow="1" summaryRight="1"/>
    <pageSetUpPr/>
  </sheetPr>
  <dimension ref="A1:I54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41.1" customWidth="1" min="2" max="2"/>
    <col width="19.8" customWidth="1" min="3" max="3"/>
    <col width="16" customWidth="1" min="4" max="4"/>
    <col width="16.1" customWidth="1" min="5" max="5"/>
    <col width="16" customWidth="1" min="6" max="6"/>
    <col width="16" customWidth="1" min="7" max="7"/>
    <col width="16" customWidth="1" min="8" max="8"/>
    <col width="16" customWidth="1" min="9" max="9"/>
  </cols>
  <sheetData>
    <row r="1" ht="38" customHeight="1">
      <c r="B1" s="1" t="inlineStr">
        <is>
          <t>LEO Priming / Business Expansion Grant</t>
        </is>
      </c>
    </row>
    <row r="2" ht="20" customHeight="1">
      <c r="B2" s="2" t="inlineStr">
        <is>
          <t>Local Enterprise Office · application — mirrors the official e-form</t>
        </is>
      </c>
    </row>
    <row r="3" ht="3" customHeight="1">
      <c r="B3" s="3" t="n"/>
      <c r="C3" s="3" t="n"/>
      <c r="D3" s="3" t="n"/>
      <c r="E3" s="3" t="n"/>
      <c r="F3" s="3" t="n"/>
      <c r="G3" s="3" t="n"/>
      <c r="H3" s="3" t="n"/>
      <c r="I3" s="3" t="n"/>
    </row>
    <row r="4" ht="30" customHeight="1">
      <c r="B4" s="4" t="inlineStr">
        <is>
          <t xml:space="preserve">  Up to 50% of qualifying non-salary costs; max €80,000 (€150,000 exceptional). Priming = first 18 months; Business Expansion = growth phase after 18 months. Source: localenterprise.ie.</t>
        </is>
      </c>
    </row>
    <row r="5" ht="24" customHeight="1">
      <c r="B5" s="5" t="inlineStr">
        <is>
          <t>1 · APPLICANT &amp; LEGAL DETAILS</t>
        </is>
      </c>
      <c r="C5" s="6" t="n"/>
      <c r="D5" s="6" t="n"/>
      <c r="E5" s="6" t="n"/>
      <c r="F5" s="6" t="n"/>
      <c r="G5" s="6" t="n"/>
      <c r="H5" s="6" t="n"/>
      <c r="I5" s="6" t="n"/>
    </row>
    <row r="6" ht="19" customHeight="1">
      <c r="B6" s="7" t="inlineStr">
        <is>
          <t>Business / trading name</t>
        </is>
      </c>
      <c r="D6" s="8" t="n"/>
    </row>
    <row r="7" ht="19" customHeight="1">
      <c r="B7" s="7" t="inlineStr">
        <is>
          <t>Legal form (sole trader/partnership/Ltd)</t>
        </is>
      </c>
      <c r="D7" s="8" t="n"/>
    </row>
    <row r="8" ht="19" customHeight="1">
      <c r="B8" s="7" t="inlineStr">
        <is>
          <t>Company / tax reg. number</t>
        </is>
      </c>
      <c r="D8" s="8" t="n"/>
    </row>
    <row r="9" ht="19" customHeight="1">
      <c r="B9" s="7" t="inlineStr">
        <is>
          <t>Directors &amp; % shareholding</t>
        </is>
      </c>
      <c r="D9" s="8" t="n"/>
    </row>
    <row r="10" ht="19" customHeight="1">
      <c r="B10" s="7" t="inlineStr">
        <is>
          <t>Business address</t>
        </is>
      </c>
      <c r="D10" s="8" t="n"/>
    </row>
    <row r="11" ht="19" customHeight="1">
      <c r="B11" s="7" t="inlineStr">
        <is>
          <t>Premises owned / leased (+ lease term)</t>
        </is>
      </c>
      <c r="D11" s="8" t="n"/>
    </row>
    <row r="12"/>
    <row r="13">
      <c r="B13" s="9" t="inlineStr">
        <is>
          <t>2 · Promoter background &amp; qualifications</t>
        </is>
      </c>
    </row>
    <row r="14" ht="15" customHeight="1">
      <c r="B14" s="10" t="inlineStr">
        <is>
          <t xml:space="preserve">  Relevant experience, education and track record of each promoter (min ~150 words).</t>
        </is>
      </c>
    </row>
    <row r="15" ht="46" customHeight="1">
      <c r="B15" s="11" t="n"/>
    </row>
    <row r="16">
      <c r="B16" s="9" t="inlineStr">
        <is>
          <t>3 · Product / service</t>
        </is>
      </c>
    </row>
    <row r="17" ht="15" customHeight="1">
      <c r="B17" s="10" t="inlineStr">
        <is>
          <t xml:space="preserve">  Describe the offer, its unique features, pricing, IP, suppliers and future development.</t>
        </is>
      </c>
    </row>
    <row r="18" ht="46" customHeight="1">
      <c r="B18" s="11" t="n"/>
    </row>
    <row r="19">
      <c r="B19" s="9" t="inlineStr">
        <is>
          <t>4.1 Market research carried out</t>
        </is>
      </c>
    </row>
    <row r="20" ht="15" customHeight="1">
      <c r="B20" s="10" t="inlineStr">
        <is>
          <t xml:space="preserve">  What research have you done? Size, trends, spending shifts (min ~150 words).</t>
        </is>
      </c>
    </row>
    <row r="21" ht="46" customHeight="1">
      <c r="B21" s="11" t="n"/>
    </row>
    <row r="22">
      <c r="B22" s="9" t="inlineStr">
        <is>
          <t>4.2 Customers &amp; marketing strategy</t>
        </is>
      </c>
    </row>
    <row r="23" ht="15" customHeight="1">
      <c r="B23" s="10" t="inlineStr">
        <is>
          <t xml:space="preserve">  Who buys, how you reach them (website/OTA/direct), and forward orders (min ~150 words).</t>
        </is>
      </c>
    </row>
    <row r="24" ht="46" customHeight="1">
      <c r="B24" s="11" t="n"/>
    </row>
    <row r="25">
      <c r="B25" s="9" t="inlineStr">
        <is>
          <t>4.3 Competitors &amp; your edge</t>
        </is>
      </c>
    </row>
    <row r="26" ht="15" customHeight="1">
      <c r="B26" s="10" t="inlineStr">
        <is>
          <t xml:space="preserve">  Who competes, where, and why guests will choose you (min ~150 words).</t>
        </is>
      </c>
    </row>
    <row r="27" ht="46" customHeight="1">
      <c r="B27" s="11" t="n"/>
    </row>
    <row r="28"/>
    <row r="29" ht="24" customHeight="1">
      <c r="B29" s="5" t="inlineStr">
        <is>
          <t>5 · YEAR-1 EXPENDITURE (AUTO-LINKED FROM ASSUMPTIONS CAPEX)</t>
        </is>
      </c>
      <c r="C29" s="6" t="n"/>
      <c r="D29" s="6" t="n"/>
      <c r="E29" s="6" t="n"/>
      <c r="F29" s="6" t="n"/>
      <c r="G29" s="6" t="n"/>
      <c r="H29" s="6" t="n"/>
      <c r="I29" s="6" t="n"/>
    </row>
    <row r="30" ht="30" customHeight="1">
      <c r="B30" s="12" t="inlineStr">
        <is>
          <t>Cost item</t>
        </is>
      </c>
      <c r="C30" s="12" t="inlineStr">
        <is>
          <t>Total cost €</t>
        </is>
      </c>
      <c r="D30" s="12" t="inlineStr">
        <is>
          <t>Eligible? (non-salary)</t>
        </is>
      </c>
      <c r="E30" s="12" t="inlineStr">
        <is>
          <t>Grant-eligible €</t>
        </is>
      </c>
      <c r="F30" s="12" t="inlineStr"/>
      <c r="G30" s="12" t="inlineStr"/>
      <c r="H30" s="12" t="inlineStr"/>
      <c r="I30" s="12" t="inlineStr"/>
    </row>
    <row r="31" ht="19" customHeight="1">
      <c r="B31" s="13" t="inlineStr">
        <is>
          <t>Lease deposit &amp; legal</t>
        </is>
      </c>
      <c r="C31" s="13" t="n"/>
      <c r="D31" s="14">
        <f>INDEX('Assumptions'!D23:D30,MATCH(B31,'Assumptions'!B23:B30,0))</f>
        <v/>
      </c>
      <c r="E31" s="15" t="inlineStr">
        <is>
          <t>Yes</t>
        </is>
      </c>
      <c r="F31" s="14">
        <f>IF(E31="Yes",D31,0)</f>
        <v/>
      </c>
      <c r="G31" s="13" t="n"/>
      <c r="H31" s="13" t="n"/>
      <c r="I31" s="13" t="n"/>
    </row>
    <row r="32" ht="19" customHeight="1">
      <c r="B32" s="16" t="inlineStr">
        <is>
          <t>Building refurbishment &amp; fit-out</t>
        </is>
      </c>
      <c r="C32" s="16" t="n"/>
      <c r="D32" s="14">
        <f>INDEX('Assumptions'!D23:D30,MATCH(B32,'Assumptions'!B23:B30,0))</f>
        <v/>
      </c>
      <c r="E32" s="15" t="inlineStr">
        <is>
          <t>Yes</t>
        </is>
      </c>
      <c r="F32" s="14">
        <f>IF(E32="Yes",D32,0)</f>
        <v/>
      </c>
      <c r="G32" s="16" t="n"/>
      <c r="H32" s="16" t="n"/>
      <c r="I32" s="16" t="n"/>
    </row>
    <row r="33" ht="19" customHeight="1">
      <c r="B33" s="13" t="inlineStr">
        <is>
          <t>FF&amp;E (rooms, beds, furniture)</t>
        </is>
      </c>
      <c r="C33" s="13" t="n"/>
      <c r="D33" s="14">
        <f>INDEX('Assumptions'!D23:D30,MATCH(B33,'Assumptions'!B23:B30,0))</f>
        <v/>
      </c>
      <c r="E33" s="15" t="inlineStr">
        <is>
          <t>Yes</t>
        </is>
      </c>
      <c r="F33" s="14">
        <f>IF(E33="Yes",D33,0)</f>
        <v/>
      </c>
      <c r="G33" s="13" t="n"/>
      <c r="H33" s="13" t="n"/>
      <c r="I33" s="13" t="n"/>
    </row>
    <row r="34" ht="19" customHeight="1">
      <c r="B34" s="16" t="inlineStr">
        <is>
          <t>Kitchen &amp; F&amp;B equipment</t>
        </is>
      </c>
      <c r="C34" s="16" t="n"/>
      <c r="D34" s="14">
        <f>INDEX('Assumptions'!D23:D30,MATCH(B34,'Assumptions'!B23:B30,0))</f>
        <v/>
      </c>
      <c r="E34" s="15" t="inlineStr">
        <is>
          <t>Yes</t>
        </is>
      </c>
      <c r="F34" s="14">
        <f>IF(E34="Yes",D34,0)</f>
        <v/>
      </c>
      <c r="G34" s="16" t="n"/>
      <c r="H34" s="16" t="n"/>
      <c r="I34" s="16" t="n"/>
    </row>
    <row r="35" ht="19" customHeight="1">
      <c r="B35" s="13" t="inlineStr">
        <is>
          <t>IT, PMS, POS &amp; networking</t>
        </is>
      </c>
      <c r="C35" s="13" t="n"/>
      <c r="D35" s="14">
        <f>INDEX('Assumptions'!D23:D30,MATCH(B35,'Assumptions'!B23:B30,0))</f>
        <v/>
      </c>
      <c r="E35" s="15" t="inlineStr">
        <is>
          <t>Yes</t>
        </is>
      </c>
      <c r="F35" s="14">
        <f>IF(E35="Yes",D35,0)</f>
        <v/>
      </c>
      <c r="G35" s="13" t="n"/>
      <c r="H35" s="13" t="n"/>
      <c r="I35" s="13" t="n"/>
    </row>
    <row r="36" ht="19" customHeight="1">
      <c r="B36" s="16" t="inlineStr">
        <is>
          <t>Branding, signage &amp; website</t>
        </is>
      </c>
      <c r="C36" s="16" t="n"/>
      <c r="D36" s="14">
        <f>INDEX('Assumptions'!D23:D30,MATCH(B36,'Assumptions'!B23:B30,0))</f>
        <v/>
      </c>
      <c r="E36" s="15" t="inlineStr">
        <is>
          <t>Review</t>
        </is>
      </c>
      <c r="F36" s="14">
        <f>IF(E36="Yes",D36,0)</f>
        <v/>
      </c>
      <c r="G36" s="16" t="n"/>
      <c r="H36" s="16" t="n"/>
      <c r="I36" s="16" t="n"/>
    </row>
    <row r="37" ht="19" customHeight="1">
      <c r="B37" s="13" t="inlineStr">
        <is>
          <t>Pre-opening payroll &amp; training</t>
        </is>
      </c>
      <c r="C37" s="13" t="n"/>
      <c r="D37" s="14">
        <f>INDEX('Assumptions'!D23:D30,MATCH(B37,'Assumptions'!B23:B30,0))</f>
        <v/>
      </c>
      <c r="E37" s="15" t="inlineStr">
        <is>
          <t>Review</t>
        </is>
      </c>
      <c r="F37" s="14">
        <f>IF(E37="Yes",D37,0)</f>
        <v/>
      </c>
      <c r="G37" s="13" t="n"/>
      <c r="H37" s="13" t="n"/>
      <c r="I37" s="13" t="n"/>
    </row>
    <row r="38" ht="19" customHeight="1">
      <c r="B38" s="16" t="inlineStr">
        <is>
          <t>Working capital buffer</t>
        </is>
      </c>
      <c r="C38" s="16" t="n"/>
      <c r="D38" s="14">
        <f>INDEX('Assumptions'!D23:D30,MATCH(B38,'Assumptions'!B23:B30,0))</f>
        <v/>
      </c>
      <c r="E38" s="15" t="inlineStr">
        <is>
          <t>Review</t>
        </is>
      </c>
      <c r="F38" s="14">
        <f>IF(E38="Yes",D38,0)</f>
        <v/>
      </c>
      <c r="G38" s="16" t="n"/>
      <c r="H38" s="16" t="n"/>
      <c r="I38" s="16" t="n"/>
    </row>
    <row r="39">
      <c r="B39" s="17" t="inlineStr">
        <is>
          <t>Total eligible expenditure</t>
        </is>
      </c>
      <c r="F39" s="18">
        <f>SUM(F31:F38)</f>
        <v/>
      </c>
    </row>
    <row r="40"/>
    <row r="41" ht="24" customHeight="1">
      <c r="B41" s="5" t="inlineStr">
        <is>
          <t>GRANT CALCULATION</t>
        </is>
      </c>
      <c r="C41" s="6" t="n"/>
      <c r="D41" s="6" t="n"/>
      <c r="E41" s="6" t="n"/>
      <c r="F41" s="6" t="n"/>
      <c r="G41" s="6" t="n"/>
      <c r="H41" s="6" t="n"/>
      <c r="I41" s="6" t="n"/>
    </row>
    <row r="42" ht="19" customHeight="1">
      <c r="B42" s="7" t="inlineStr">
        <is>
          <t>Match rate</t>
        </is>
      </c>
      <c r="D42" s="19" t="n">
        <v>0.5</v>
      </c>
    </row>
    <row r="43" ht="19" customHeight="1">
      <c r="B43" s="7" t="inlineStr">
        <is>
          <t>Jobs created (FTE)</t>
        </is>
      </c>
      <c r="D43" s="20" t="n">
        <v>6</v>
      </c>
    </row>
    <row r="44" ht="19" customHeight="1">
      <c r="B44" s="7" t="inlineStr">
        <is>
          <t>Grant cap (€80k std / €150k exceptional)</t>
        </is>
      </c>
      <c r="D44" s="21" t="n">
        <v>80000</v>
      </c>
    </row>
    <row r="45">
      <c r="B45" s="22" t="inlineStr">
        <is>
          <t>Indicative grant (lower of match × eligible, cap)</t>
        </is>
      </c>
      <c r="D45" s="18">
        <f>MIN(F39*D42,D44)</f>
        <v/>
      </c>
    </row>
    <row r="46">
      <c r="B46" s="23" t="inlineStr">
        <is>
          <t>Employment support guide (max €15k/FTE)</t>
        </is>
      </c>
      <c r="D46" s="24">
        <f>D43*15000</f>
        <v/>
      </c>
    </row>
    <row r="47"/>
    <row r="48" ht="24" customHeight="1">
      <c r="B48" s="5" t="inlineStr">
        <is>
          <t>REQUIRED ATTACHMENTS</t>
        </is>
      </c>
      <c r="C48" s="6" t="n"/>
      <c r="D48" s="6" t="n"/>
      <c r="E48" s="6" t="n"/>
      <c r="F48" s="6" t="n"/>
      <c r="G48" s="6" t="n"/>
      <c r="H48" s="6" t="n"/>
      <c r="I48" s="6" t="n"/>
    </row>
    <row r="49" ht="19" customHeight="1">
      <c r="B49" s="25" t="inlineStr">
        <is>
          <t>Completed &amp; signed application form</t>
        </is>
      </c>
      <c r="C49" s="26" t="n"/>
      <c r="D49" s="26" t="n"/>
      <c r="E49" s="26" t="n"/>
      <c r="F49" s="26" t="n"/>
      <c r="G49" s="26" t="n"/>
      <c r="H49" s="26" t="n"/>
      <c r="I49" s="15" t="inlineStr">
        <is>
          <t>☐ To do</t>
        </is>
      </c>
    </row>
    <row r="50" ht="19" customHeight="1">
      <c r="B50" s="27" t="inlineStr">
        <is>
          <t>CV of main applicant / promoter</t>
        </is>
      </c>
      <c r="C50" s="26" t="n"/>
      <c r="D50" s="26" t="n"/>
      <c r="E50" s="26" t="n"/>
      <c r="F50" s="26" t="n"/>
      <c r="G50" s="26" t="n"/>
      <c r="H50" s="26" t="n"/>
      <c r="I50" s="15" t="inlineStr">
        <is>
          <t>☐ To do</t>
        </is>
      </c>
    </row>
    <row r="51" ht="19" customHeight="1">
      <c r="B51" s="25" t="inlineStr">
        <is>
          <t>Quotations for key costs (3 quotes for any item over €5,000)</t>
        </is>
      </c>
      <c r="C51" s="26" t="n"/>
      <c r="D51" s="26" t="n"/>
      <c r="E51" s="26" t="n"/>
      <c r="F51" s="26" t="n"/>
      <c r="G51" s="26" t="n"/>
      <c r="H51" s="26" t="n"/>
      <c r="I51" s="15" t="inlineStr">
        <is>
          <t>☐ To do</t>
        </is>
      </c>
    </row>
    <row r="52" ht="19" customHeight="1">
      <c r="B52" s="27" t="inlineStr">
        <is>
          <t>Most recent certified accounts (existing businesses)</t>
        </is>
      </c>
      <c r="C52" s="26" t="n"/>
      <c r="D52" s="26" t="n"/>
      <c r="E52" s="26" t="n"/>
      <c r="F52" s="26" t="n"/>
      <c r="G52" s="26" t="n"/>
      <c r="H52" s="26" t="n"/>
      <c r="I52" s="15" t="inlineStr">
        <is>
          <t>☐ To do</t>
        </is>
      </c>
    </row>
    <row r="53" ht="19" customHeight="1">
      <c r="B53" s="25" t="inlineStr">
        <is>
          <t>Business plan (see Phase 1 workbook)</t>
        </is>
      </c>
      <c r="C53" s="26" t="n"/>
      <c r="D53" s="26" t="n"/>
      <c r="E53" s="26" t="n"/>
      <c r="F53" s="26" t="n"/>
      <c r="G53" s="26" t="n"/>
      <c r="H53" s="26" t="n"/>
      <c r="I53" s="15" t="inlineStr">
        <is>
          <t>☐ To do</t>
        </is>
      </c>
    </row>
    <row r="54" ht="19" customHeight="1">
      <c r="B54" s="27" t="inlineStr">
        <is>
          <t>Tax clearance confirmation</t>
        </is>
      </c>
      <c r="C54" s="26" t="n"/>
      <c r="D54" s="26" t="n"/>
      <c r="E54" s="26" t="n"/>
      <c r="F54" s="26" t="n"/>
      <c r="G54" s="26" t="n"/>
      <c r="H54" s="26" t="n"/>
      <c r="I54" s="15" t="inlineStr">
        <is>
          <t>☐ To do</t>
        </is>
      </c>
    </row>
  </sheetData>
  <mergeCells count="34">
    <mergeCell ref="D10:H10"/>
    <mergeCell ref="B49:H49"/>
    <mergeCell ref="B46:C46"/>
    <mergeCell ref="B27:I27"/>
    <mergeCell ref="B51:H51"/>
    <mergeCell ref="B18:I18"/>
    <mergeCell ref="B21:I21"/>
    <mergeCell ref="D6:H6"/>
    <mergeCell ref="B48:I48"/>
    <mergeCell ref="B50:H50"/>
    <mergeCell ref="B2:I2"/>
    <mergeCell ref="D11:H11"/>
    <mergeCell ref="B54:H54"/>
    <mergeCell ref="B14:I14"/>
    <mergeCell ref="B23:I23"/>
    <mergeCell ref="B1:I1"/>
    <mergeCell ref="B17:I17"/>
    <mergeCell ref="D7:H7"/>
    <mergeCell ref="B29:I29"/>
    <mergeCell ref="B52:H52"/>
    <mergeCell ref="D43:E43"/>
    <mergeCell ref="D9:H9"/>
    <mergeCell ref="D8:H8"/>
    <mergeCell ref="B15:I15"/>
    <mergeCell ref="D42:E42"/>
    <mergeCell ref="B24:I24"/>
    <mergeCell ref="B53:H53"/>
    <mergeCell ref="B20:I20"/>
    <mergeCell ref="B45:C45"/>
    <mergeCell ref="B5:I5"/>
    <mergeCell ref="B41:I41"/>
    <mergeCell ref="D44:E44"/>
    <mergeCell ref="B4:I4"/>
    <mergeCell ref="B26:I26"/>
  </mergeCells>
  <dataValidations count="1">
    <dataValidation sqref="I49 I50 I51 I52 I53 I54" showDropDown="0" showInputMessage="0" showErrorMessage="0" allowBlank="1" type="list">
      <formula1>"☐ To do,☑ Ready,n/a"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1A2B45"/>
    <outlinePr summaryBelow="1" summaryRight="1"/>
    <pageSetUpPr/>
  </sheetPr>
  <dimension ref="A1:K47"/>
  <sheetViews>
    <sheetView showGridLines="0" workbookViewId="0">
      <selection activeCell="A1" sqref="A1"/>
    </sheetView>
  </sheetViews>
  <sheetFormatPr baseColWidth="8" defaultRowHeight="15"/>
  <cols>
    <col width="2.4" customWidth="1" min="1" max="1"/>
    <col width="35.4" customWidth="1" min="2" max="2"/>
    <col width="4" customWidth="1" min="3" max="3"/>
    <col width="18" customWidth="1" min="4" max="4"/>
    <col width="14" customWidth="1" min="5" max="5"/>
    <col width="26" customWidth="1" min="6" max="6"/>
    <col width="13" customWidth="1" min="7" max="7"/>
    <col width="13" customWidth="1" min="8" max="8"/>
    <col width="13" customWidth="1" min="9" max="9"/>
    <col width="13" customWidth="1" min="10" max="10"/>
    <col width="13" customWidth="1" min="11" max="11"/>
  </cols>
  <sheetData>
    <row r="1" ht="38" customHeight="1">
      <c r="B1" s="1" t="inlineStr">
        <is>
          <t>Assumptions &amp; Inputs</t>
        </is>
      </c>
    </row>
    <row r="2" ht="20" customHeight="1">
      <c r="B2" s="2" t="inlineStr">
        <is>
          <t>Single source of truth — edit the orange cells; everything links here</t>
        </is>
      </c>
    </row>
    <row r="3" ht="3" customHeight="1">
      <c r="B3" s="3" t="n"/>
      <c r="C3" s="3" t="n"/>
      <c r="D3" s="3" t="n"/>
      <c r="E3" s="3" t="n"/>
      <c r="F3" s="3" t="n"/>
    </row>
    <row r="4" ht="24" customHeight="1">
      <c r="B4" s="5" t="inlineStr">
        <is>
          <t>DEMAND &amp; RATE</t>
        </is>
      </c>
      <c r="C4" s="6" t="n"/>
      <c r="D4" s="6" t="n"/>
      <c r="E4" s="6" t="n"/>
      <c r="F4" s="6" t="n"/>
    </row>
    <row r="5" ht="18" customHeight="1">
      <c r="B5" s="7" t="inlineStr">
        <is>
          <t>Rooms available</t>
        </is>
      </c>
      <c r="D5" s="20" t="n">
        <v>24</v>
      </c>
    </row>
    <row r="6" ht="18" customHeight="1">
      <c r="B6" s="7" t="inlineStr">
        <is>
          <t>ADR — average daily rate</t>
        </is>
      </c>
      <c r="D6" s="28" t="n">
        <v>135</v>
      </c>
      <c r="F6" s="29" t="inlineStr">
        <is>
          <t>4★ boutique IE €110–180</t>
        </is>
      </c>
    </row>
    <row r="7" ht="18" customHeight="1">
      <c r="B7" s="7" t="inlineStr">
        <is>
          <t>Occupancy</t>
        </is>
      </c>
      <c r="D7" s="19" t="n">
        <v>0.72</v>
      </c>
      <c r="F7" s="29" t="inlineStr">
        <is>
          <t>annualised; 65–80% typical</t>
        </is>
      </c>
    </row>
    <row r="8" ht="18" customHeight="1">
      <c r="B8" s="7" t="inlineStr">
        <is>
          <t>RevPAR (ADR × occupancy)</t>
        </is>
      </c>
      <c r="D8" s="30">
        <f>'Assumptions'!D6*'Assumptions'!D7</f>
        <v/>
      </c>
    </row>
    <row r="9" ht="18" customHeight="1">
      <c r="B9" s="7" t="inlineStr">
        <is>
          <t>F&amp;B + other revenue (% of rooms)</t>
        </is>
      </c>
      <c r="D9" s="19" t="n">
        <v>0.28</v>
      </c>
    </row>
    <row r="10" ht="18" customHeight="1">
      <c r="B10" s="7" t="inlineStr">
        <is>
          <t>Rooms revenue / yr</t>
        </is>
      </c>
      <c r="D10" s="18">
        <f>'Assumptions'!D5*365*'Assumptions'!D8</f>
        <v/>
      </c>
    </row>
    <row r="11" ht="18" customHeight="1">
      <c r="B11" s="7" t="inlineStr">
        <is>
          <t>Total revenue / yr</t>
        </is>
      </c>
      <c r="D11" s="18">
        <f>'Assumptions'!D10*(1+'Assumptions'!D9)</f>
        <v/>
      </c>
    </row>
    <row r="12"/>
    <row r="13" ht="24" customHeight="1">
      <c r="B13" s="5" t="inlineStr">
        <is>
          <t>COST RATIOS</t>
        </is>
      </c>
      <c r="C13" s="6" t="n"/>
      <c r="D13" s="6" t="n"/>
      <c r="E13" s="6" t="n"/>
      <c r="F13" s="6" t="n"/>
    </row>
    <row r="14" ht="18" customHeight="1">
      <c r="B14" s="7" t="inlineStr">
        <is>
          <t>Payroll (% of total revenue)</t>
        </is>
      </c>
      <c r="D14" s="19" t="n">
        <v>0.3</v>
      </c>
    </row>
    <row r="15" ht="18" customHeight="1">
      <c r="B15" s="7" t="inlineStr">
        <is>
          <t>F&amp;B cost (% of F&amp;B revenue)</t>
        </is>
      </c>
      <c r="D15" s="19" t="n">
        <v>0.3</v>
      </c>
    </row>
    <row r="16" ht="18" customHeight="1">
      <c r="B16" s="7" t="inlineStr">
        <is>
          <t>Rooms cost (% of rooms revenue)</t>
        </is>
      </c>
      <c r="D16" s="19" t="n">
        <v>0.1</v>
      </c>
    </row>
    <row r="17" ht="18" customHeight="1">
      <c r="B17" s="7" t="inlineStr">
        <is>
          <t>Utilities (% of total revenue)</t>
        </is>
      </c>
      <c r="D17" s="19" t="n">
        <v>0.05</v>
      </c>
    </row>
    <row r="18" ht="18" customHeight="1">
      <c r="B18" s="7" t="inlineStr">
        <is>
          <t>Sales &amp; marketing (% of revenue)</t>
        </is>
      </c>
      <c r="D18" s="19" t="n">
        <v>0.06</v>
      </c>
    </row>
    <row r="19" ht="18" customHeight="1">
      <c r="B19" s="7" t="inlineStr">
        <is>
          <t>Admin &amp; general (% of revenue)</t>
        </is>
      </c>
      <c r="D19" s="19" t="n">
        <v>0.05</v>
      </c>
    </row>
    <row r="20" ht="18" customHeight="1">
      <c r="B20" s="7" t="inlineStr">
        <is>
          <t>Property: rent/rates/insurance (%)</t>
        </is>
      </c>
      <c r="D20" s="19" t="n">
        <v>0.12</v>
      </c>
    </row>
    <row r="21"/>
    <row r="22" ht="24" customHeight="1">
      <c r="B22" s="5" t="inlineStr">
        <is>
          <t>CAPITAL EXPENDITURE (FIT-OUT LED — LEASED PROPERTY)</t>
        </is>
      </c>
      <c r="C22" s="6" t="n"/>
      <c r="D22" s="6" t="n"/>
      <c r="E22" s="6" t="n"/>
      <c r="F22" s="6" t="n"/>
    </row>
    <row r="23" ht="18" customHeight="1">
      <c r="B23" s="7" t="inlineStr">
        <is>
          <t>Lease deposit &amp; legal</t>
        </is>
      </c>
      <c r="D23" s="21" t="n">
        <v>45000</v>
      </c>
    </row>
    <row r="24" ht="18" customHeight="1">
      <c r="B24" s="7" t="inlineStr">
        <is>
          <t>Building refurbishment &amp; fit-out</t>
        </is>
      </c>
      <c r="D24" s="21" t="n">
        <v>240000</v>
      </c>
    </row>
    <row r="25" ht="18" customHeight="1">
      <c r="B25" s="7" t="inlineStr">
        <is>
          <t>FF&amp;E (rooms, beds, furniture)</t>
        </is>
      </c>
      <c r="D25" s="21" t="n">
        <v>120000</v>
      </c>
    </row>
    <row r="26" ht="18" customHeight="1">
      <c r="B26" s="7" t="inlineStr">
        <is>
          <t>Kitchen &amp; F&amp;B equipment</t>
        </is>
      </c>
      <c r="D26" s="21" t="n">
        <v>55000</v>
      </c>
    </row>
    <row r="27" ht="18" customHeight="1">
      <c r="B27" s="7" t="inlineStr">
        <is>
          <t>IT, PMS, POS &amp; networking</t>
        </is>
      </c>
      <c r="D27" s="21" t="n">
        <v>30000</v>
      </c>
    </row>
    <row r="28" ht="18" customHeight="1">
      <c r="B28" s="7" t="inlineStr">
        <is>
          <t>Branding, signage &amp; website</t>
        </is>
      </c>
      <c r="D28" s="21" t="n">
        <v>25000</v>
      </c>
    </row>
    <row r="29" ht="18" customHeight="1">
      <c r="B29" s="7" t="inlineStr">
        <is>
          <t>Pre-opening payroll &amp; training</t>
        </is>
      </c>
      <c r="D29" s="21" t="n">
        <v>35000</v>
      </c>
    </row>
    <row r="30" ht="18" customHeight="1">
      <c r="B30" s="7" t="inlineStr">
        <is>
          <t>Working capital buffer</t>
        </is>
      </c>
      <c r="D30" s="21" t="n">
        <v>50000</v>
      </c>
    </row>
    <row r="31">
      <c r="B31" s="22" t="inlineStr">
        <is>
          <t>Total capex required</t>
        </is>
      </c>
      <c r="D31" s="18">
        <f>SUM(D23:D30)</f>
        <v/>
      </c>
    </row>
    <row r="32"/>
    <row r="33" ht="24" customHeight="1">
      <c r="B33" s="5" t="inlineStr">
        <is>
          <t>FUNDING MIX</t>
        </is>
      </c>
      <c r="C33" s="6" t="n"/>
      <c r="D33" s="6" t="n"/>
      <c r="E33" s="6" t="n"/>
      <c r="F33" s="6" t="n"/>
    </row>
    <row r="34" ht="18" customHeight="1">
      <c r="B34" s="7" t="inlineStr">
        <is>
          <t>Founder equity (incl. SURE refund)</t>
        </is>
      </c>
      <c r="D34" s="21" t="n">
        <v>180000</v>
      </c>
      <c r="F34" s="31">
        <f>IF($D$34="","",D34/SUM($D$34:$D$37))</f>
        <v/>
      </c>
    </row>
    <row r="35" ht="18" customHeight="1">
      <c r="B35" s="7" t="inlineStr">
        <is>
          <t>LEO Priming grant</t>
        </is>
      </c>
      <c r="D35" s="21" t="n">
        <v>80000</v>
      </c>
      <c r="F35" s="31">
        <f>IF($D$35="","",D35/SUM($D$34:$D$37))</f>
        <v/>
      </c>
    </row>
    <row r="36" ht="18" customHeight="1">
      <c r="B36" s="7" t="inlineStr">
        <is>
          <t>Bank / SBCI term loan</t>
        </is>
      </c>
      <c r="D36" s="21" t="n">
        <v>300000</v>
      </c>
      <c r="F36" s="31">
        <f>IF($D$36="","",D36/SUM($D$34:$D$37))</f>
        <v/>
      </c>
    </row>
    <row r="37" ht="18" customHeight="1">
      <c r="B37" s="7" t="inlineStr">
        <is>
          <t>Microfinance Ireland loan</t>
        </is>
      </c>
      <c r="D37" s="21" t="n">
        <v>40000</v>
      </c>
      <c r="F37" s="31">
        <f>IF($D$37="","",D37/SUM($D$34:$D$37))</f>
        <v/>
      </c>
    </row>
    <row r="38">
      <c r="B38" s="22" t="inlineStr">
        <is>
          <t>Total funding raised</t>
        </is>
      </c>
      <c r="D38" s="18">
        <f>SUM(D34:D37)</f>
        <v/>
      </c>
    </row>
    <row r="39">
      <c r="B39" s="9" t="inlineStr">
        <is>
          <t>Funding vs capex (surplus/gap)</t>
        </is>
      </c>
      <c r="D39" s="18">
        <f>'Assumptions'!D38-'Assumptions'!D31</f>
        <v/>
      </c>
    </row>
    <row r="40"/>
    <row r="41" ht="24" customHeight="1">
      <c r="B41" s="5" t="inlineStr">
        <is>
          <t>SOURCES &amp; BENCHMARK NOTES</t>
        </is>
      </c>
      <c r="C41" s="6" t="n"/>
      <c r="D41" s="6" t="n"/>
      <c r="E41" s="6" t="n"/>
      <c r="F41" s="6" t="n"/>
    </row>
    <row r="42" ht="30" customHeight="1">
      <c r="B42" s="4" t="inlineStr">
        <is>
          <t xml:space="preserve">  ADR/occupancy/RevPAR benchmarks: Fáilte Ireland &amp; STR Ireland hotel performance reports (4-star/boutique ranges).</t>
        </is>
      </c>
    </row>
    <row r="43" ht="30" customHeight="1">
      <c r="B43" s="4" t="inlineStr">
        <is>
          <t xml:space="preserve">  Grant/funding figures: Local Enterprise Office (localenterprise.ie), Microfinance Ireland, SBCI, Fáilte Ireland investment schemes.</t>
        </is>
      </c>
    </row>
    <row r="44" ht="30" customHeight="1">
      <c r="B44" s="4" t="inlineStr">
        <is>
          <t xml:space="preserve">  Cost ratios (payroll ~30%, F&amp;B cost ~30%): USALI hotel P&amp;L conventions.</t>
        </is>
      </c>
    </row>
    <row r="45" ht="30" customHeight="1">
      <c r="B45" s="4" t="inlineStr">
        <is>
          <t xml:space="preserve">  Figures are seed assumptions — replace the orange cells with your own quotes and verified local data before relying on them.</t>
        </is>
      </c>
    </row>
    <row r="46"/>
    <row r="47" ht="22" customHeight="1">
      <c r="B47" s="32" t="inlineStr">
        <is>
          <t>ASSET-FORGE · LEANTA Turnkey Pack · Boutique Hotel · v1.0 · 04/06/2026</t>
        </is>
      </c>
    </row>
  </sheetData>
  <mergeCells count="12">
    <mergeCell ref="B4:F4"/>
    <mergeCell ref="B44:F44"/>
    <mergeCell ref="B43:F43"/>
    <mergeCell ref="B2:F2"/>
    <mergeCell ref="B33:F33"/>
    <mergeCell ref="B42:F42"/>
    <mergeCell ref="B45:F45"/>
    <mergeCell ref="B22:F22"/>
    <mergeCell ref="B1:F1"/>
    <mergeCell ref="B47:K47"/>
    <mergeCell ref="B41:F41"/>
    <mergeCell ref="B13:F13"/>
  </mergeCells>
  <conditionalFormatting sqref="D39">
    <cfRule type="cellIs" priority="1" operator="lessThan" dxfId="0">
      <formula>0</formula>
    </cfRule>
    <cfRule type="cellIs" priority="2" operator="greaterThanOrEqual" dxfId="1">
      <formula>0</formula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ASSET-FORGE · LEANTA</dc:creator>
  <dc:title>LEO Priming / Business Expansion Grant — application</dc:title>
  <dcterms:created xsi:type="dcterms:W3CDTF">2026-06-04T13:20:16Z</dcterms:created>
  <dcterms:modified xsi:type="dcterms:W3CDTF">2026-06-04T13:20:16Z</dcterms:modified>
</cp:coreProperties>
</file>