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Start Here · Začnite tu" sheetId="1" state="visible" r:id="rId1"/>
    <sheet name="01 · Cashflow &amp; P&amp;L" sheetId="2" state="visible" r:id="rId2"/>
    <sheet name="02 · GP Costing" sheetId="3" state="visible" r:id="rId3"/>
    <sheet name="03 · Stock &amp; Wastage" sheetId="4" state="visible" r:id="rId4"/>
    <sheet name="04 · Rota &amp; Labour" sheetId="5" state="visible" r:id="rId5"/>
    <sheet name="05 · Daily Takings" sheetId="6" state="visible" r:id="rId6"/>
    <sheet name="06 · Training &amp; Indu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0.0%"/>
    <numFmt numFmtId="166" formatCode="DD/MM/YYYY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1F3A5F"/>
      <sz val="13"/>
    </font>
    <font>
      <name val="Calibri"/>
      <i val="1"/>
      <color rgb="002A7D7B"/>
      <sz val="10"/>
    </font>
    <font>
      <name val="Calibri"/>
      <b val="1"/>
      <color rgb="00FFFFFF"/>
      <sz val="12"/>
    </font>
    <font>
      <name val="Calibri"/>
      <b val="1"/>
      <color rgb="001F3A5F"/>
      <sz val="10"/>
    </font>
    <font>
      <name val="Calibri"/>
      <i val="1"/>
      <color rgb="00404040"/>
      <sz val="10"/>
    </font>
    <font>
      <name val="Calibri"/>
      <i val="1"/>
      <color rgb="00808080"/>
      <sz val="8"/>
    </font>
    <font>
      <name val="Calibri"/>
      <b val="1"/>
      <color rgb="00FFFFFF"/>
      <sz val="15"/>
    </font>
    <font>
      <name val="Calibri"/>
      <i val="1"/>
      <color rgb="001F3A5F"/>
      <sz val="10"/>
    </font>
    <font>
      <name val="Calibri"/>
      <i val="1"/>
      <color rgb="001F3A5F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1F3A5F"/>
      <sz val="9"/>
    </font>
    <font>
      <name val="Calibri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EEE2"/>
      </patternFill>
    </fill>
    <fill>
      <patternFill patternType="solid">
        <fgColor rgb="002A7D7B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1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right" vertical="center"/>
    </xf>
    <xf numFmtId="0" fontId="0" fillId="5" borderId="1" pivotButton="0" quotePrefix="0" xfId="0"/>
    <xf numFmtId="0" fontId="10" fillId="6" borderId="0" applyAlignment="1" pivotButton="0" quotePrefix="0" xfId="0">
      <alignment horizontal="left" vertical="top" wrapText="1" indent="1"/>
    </xf>
    <xf numFmtId="0" fontId="11" fillId="2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164" fontId="12" fillId="5" borderId="1" pivotButton="0" quotePrefix="0" xfId="0"/>
    <xf numFmtId="164" fontId="13" fillId="6" borderId="1" pivotButton="0" quotePrefix="0" xfId="0"/>
    <xf numFmtId="0" fontId="14" fillId="0" borderId="1" applyAlignment="1" pivotButton="0" quotePrefix="0" xfId="0">
      <alignment horizontal="left" vertical="center" indent="1"/>
    </xf>
    <xf numFmtId="164" fontId="12" fillId="6" borderId="1" pivotButton="0" quotePrefix="0" xfId="0"/>
    <xf numFmtId="164" fontId="0" fillId="5" borderId="1" pivotButton="0" quotePrefix="0" xfId="0"/>
    <xf numFmtId="164" fontId="0" fillId="0" borderId="1" pivotButton="0" quotePrefix="0" xfId="0"/>
    <xf numFmtId="0" fontId="13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center" vertical="center" wrapText="1"/>
    </xf>
    <xf numFmtId="164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165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0" fontId="5" fillId="0" borderId="1" pivotButton="0" quotePrefix="0" xfId="0"/>
    <xf numFmtId="0" fontId="15" fillId="0" borderId="1" pivotButton="0" quotePrefix="0" xfId="0"/>
    <xf numFmtId="164" fontId="15" fillId="0" borderId="1" pivotButton="0" quotePrefix="0" xfId="0"/>
    <xf numFmtId="165" fontId="15" fillId="6" borderId="1" pivotButton="0" quotePrefix="0" xfId="0"/>
    <xf numFmtId="166" fontId="12" fillId="0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166" fontId="12" fillId="8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5">
    <dxf>
      <font>
        <name val="Calibri"/>
        <b val="1"/>
        <color rgb="009C0006"/>
        <sz val="9"/>
      </font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ont>
        <name val="Calibri"/>
        <b val="1"/>
        <color rgb="009C0006"/>
        <sz val="10"/>
      </font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4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</cols>
  <sheetData>
    <row r="1" ht="22" customHeight="1">
      <c r="A1" s="1" t="inlineStr">
        <is>
          <t>DEMO — PREVIEW ONLY · NOT FOR RESALE · ukážka — buy the full bundle to unlock editing</t>
        </is>
      </c>
    </row>
    <row r="2" ht="26" customHeight="1">
      <c r="A2" s="2" t="inlineStr">
        <is>
          <t>HOSPITALITY OPERATIONS &amp; GP BUNDLE</t>
        </is>
      </c>
    </row>
    <row r="3">
      <c r="A3" s="3" t="inlineStr">
        <is>
          <t>Prevádzka a hrubá marža pre gastro — balík nástrojov</t>
        </is>
      </c>
    </row>
    <row r="4">
      <c r="A4" s="4" t="inlineStr">
        <is>
          <t>See your margin, labour % and cash before they bite · Vidíte maržu, mzdy a hotovosť skôr, než zabolia</t>
        </is>
      </c>
    </row>
    <row r="5" ht="6" customHeight="1"/>
    <row r="6" ht="24" customHeight="1"/>
    <row r="7" ht="18" customHeight="1">
      <c r="A7" s="5" t="inlineStr">
        <is>
          <t>WHAT'S INSIDE / ČO OBSAHUJE</t>
        </is>
      </c>
    </row>
    <row r="8" ht="18" customHeight="1">
      <c r="A8" s="6" t="inlineStr">
        <is>
          <t>01 · Cashflow &amp; P&amp;L Tracker</t>
        </is>
      </c>
      <c r="E8" s="7" t="inlineStr">
        <is>
          <t>Sledovač cash flow a výkazu ziskov a strát</t>
        </is>
      </c>
    </row>
    <row r="9" ht="18" customHeight="1">
      <c r="A9" s="6" t="inlineStr">
        <is>
          <t>02 · Recipe &amp; Menu GP Costing Calculator</t>
        </is>
      </c>
      <c r="E9" s="7" t="inlineStr">
        <is>
          <t>Kalkulačka nákladov a hrubej marže receptúr</t>
        </is>
      </c>
    </row>
    <row r="10" ht="18" customHeight="1">
      <c r="A10" s="6" t="inlineStr">
        <is>
          <t>03 · Stock &amp; Wastage Tracker</t>
        </is>
      </c>
      <c r="E10" s="7" t="inlineStr">
        <is>
          <t>Sledovač zásob a strát</t>
        </is>
      </c>
    </row>
    <row r="11" ht="18" customHeight="1">
      <c r="A11" s="6" t="inlineStr">
        <is>
          <t>04 · Staff Rota &amp; Labour-Cost Scheduler</t>
        </is>
      </c>
      <c r="E11" s="7" t="inlineStr">
        <is>
          <t>Plánovač zmien a mzdových nákladov</t>
        </is>
      </c>
    </row>
    <row r="12" ht="18" customHeight="1">
      <c r="A12" s="6" t="inlineStr">
        <is>
          <t>05 · Daily Takings &amp; Till Reconciliation</t>
        </is>
      </c>
      <c r="E12" s="7" t="inlineStr">
        <is>
          <t>Hárok denných tržieb a uzávierky pokladne</t>
        </is>
      </c>
    </row>
    <row r="13" ht="6" customHeight="1">
      <c r="A13" s="6" t="inlineStr">
        <is>
          <t>06 · Staff Training &amp; Induction Matrix</t>
        </is>
      </c>
      <c r="E13" s="7" t="inlineStr">
        <is>
          <t>Matica školení a zaškolenia zamestnancov</t>
        </is>
      </c>
    </row>
    <row r="14" ht="24" customHeight="1"/>
    <row r="15" ht="18" customHeight="1">
      <c r="A15" s="5" t="inlineStr">
        <is>
          <t>WHY THE TRAINING MATRIX IS HERE / PREČO JE TU MATICA ŠKOLENÍ</t>
        </is>
      </c>
    </row>
    <row r="16" ht="18" customHeight="1">
      <c r="A16" s="6" t="inlineStr">
        <is>
          <t>No worker on the floor without manual-handling &amp; induction training —</t>
        </is>
      </c>
      <c r="E16" s="7" t="inlineStr">
        <is>
          <t>Žiadny pracovník na zmenu bez školenia o manipulácii s bremenami a zaškolenia —</t>
        </is>
      </c>
    </row>
    <row r="17" ht="6" customHeight="1">
      <c r="A17" s="6" t="inlineStr">
        <is>
          <t>Sheet 06 is your dated proof of who was trained, on what, and when refreshers fall due.</t>
        </is>
      </c>
      <c r="E17" s="7" t="inlineStr">
        <is>
          <t>Hárok 06 je dôkaz: kto, na čo a kedy bol školený a kedy je preškolenie.</t>
        </is>
      </c>
    </row>
    <row r="18" ht="24" customHeight="1"/>
    <row r="19" ht="18" customHeight="1">
      <c r="A19" s="5" t="inlineStr">
        <is>
          <t>HOW TO USE / AKO POUŽÍVAŤ</t>
        </is>
      </c>
    </row>
    <row r="20" ht="18" customHeight="1">
      <c r="A20" s="6" t="inlineStr">
        <is>
          <t>Amber = you fill · Blue = auto-calculated · Grey/white = entries.</t>
        </is>
      </c>
      <c r="E20" s="7" t="inlineStr">
        <is>
          <t>Oranžová = vyplníte · Modrá = automaticky · Sivá/biela = záznamy.</t>
        </is>
      </c>
    </row>
    <row r="21">
      <c r="A21" s="6" t="inlineStr">
        <is>
          <t>Sits on top of P1 Compliance Pack — buy both as the Hospitality Pro Bundle.</t>
        </is>
      </c>
      <c r="E21" s="7" t="inlineStr">
        <is>
          <t>Nadväzuje na P1 Compliance Pack — kúpte spolu ako Hospitality Pro Bundle.</t>
        </is>
      </c>
    </row>
    <row r="22" ht="26" customHeight="1"/>
    <row r="23">
      <c r="A23" s="8" t="inlineStr">
        <is>
          <t>ASSET-FORGE · v1.0 · 30/05/2026 · EU (Ireland) · Template only — not financial or legal advice. · Šablóna — nie je finančné ani právne poradenstvo.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27">
    <mergeCell ref="A8:D8"/>
    <mergeCell ref="A20:D20"/>
    <mergeCell ref="E16:H16"/>
    <mergeCell ref="E7:H7"/>
    <mergeCell ref="A19:D19"/>
    <mergeCell ref="A1:H1"/>
    <mergeCell ref="A10:D10"/>
    <mergeCell ref="A6:H6"/>
    <mergeCell ref="A9:D9"/>
    <mergeCell ref="E12:H12"/>
    <mergeCell ref="A15:D15"/>
    <mergeCell ref="A11:D11"/>
    <mergeCell ref="A18:H18"/>
    <mergeCell ref="A3:H3"/>
    <mergeCell ref="E8:H8"/>
    <mergeCell ref="A2:H2"/>
    <mergeCell ref="E20:H20"/>
    <mergeCell ref="A7:D7"/>
    <mergeCell ref="A14:H14"/>
    <mergeCell ref="A16:D16"/>
    <mergeCell ref="E19:H19"/>
    <mergeCell ref="E10:H10"/>
    <mergeCell ref="A22:H22"/>
    <mergeCell ref="E9:H9"/>
    <mergeCell ref="A12:D12"/>
    <mergeCell ref="E15:H15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2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</cols>
  <sheetData>
    <row r="1" ht="22" customHeight="1">
      <c r="A1" s="1" t="inlineStr">
        <is>
          <t>DEMO — PREVIEW ONLY · NOT FOR RESALE · ukážka — buy the full bundle to unlock editing</t>
        </is>
      </c>
    </row>
    <row r="2" ht="26" customHeight="1">
      <c r="A2" s="9" t="inlineStr">
        <is>
          <t>Cashflow &amp; P&amp;L Tracker  |  Sledovač cash flow a výkazu ziskov a strát</t>
        </is>
      </c>
    </row>
    <row r="3">
      <c r="A3" s="10" t="inlineStr">
        <is>
          <t>12-month rolling cash + monthly profit &amp; loss for an owner-run venue  ·  12-mesačný cash flow a mesačný výkaz ziskov a strát</t>
        </is>
      </c>
    </row>
    <row r="4">
      <c r="A4" s="11" t="inlineStr">
        <is>
          <t>Business name / Názov prevádzky:</t>
        </is>
      </c>
      <c r="B4" s="12" t="inlineStr"/>
    </row>
    <row r="5">
      <c r="A5" s="11" t="inlineStr">
        <is>
          <t>Year (YYYY) / Rok:</t>
        </is>
      </c>
      <c r="B5" s="12" t="inlineStr"/>
    </row>
    <row r="6" ht="30" customHeight="1"/>
    <row r="7" ht="22" customHeight="1">
      <c r="A7" s="13" t="inlineStr">
        <is>
          <t>ℹ  Enter actuals in the amber cells. Totals, GP, net profit and closing cash calculate automatically.
    Vyplňte oranžové bunky. Súčty, marža, zisk a koncová hotovosť sa počítajú automaticky.</t>
        </is>
      </c>
    </row>
    <row r="8" ht="18" customHeight="1">
      <c r="A8" s="14" t="inlineStr">
        <is>
          <t>Line / Položka</t>
        </is>
      </c>
      <c r="B8" s="14" t="inlineStr">
        <is>
          <t>Jan</t>
        </is>
      </c>
      <c r="C8" s="14" t="inlineStr">
        <is>
          <t>Feb</t>
        </is>
      </c>
      <c r="D8" s="14" t="inlineStr">
        <is>
          <t>Mar</t>
        </is>
      </c>
      <c r="E8" s="14" t="inlineStr">
        <is>
          <t>Apr</t>
        </is>
      </c>
      <c r="F8" s="14" t="inlineStr">
        <is>
          <t>May</t>
        </is>
      </c>
      <c r="G8" s="14" t="inlineStr">
        <is>
          <t>Jun</t>
        </is>
      </c>
      <c r="H8" s="14" t="inlineStr">
        <is>
          <t>Jul</t>
        </is>
      </c>
      <c r="I8" s="14" t="inlineStr">
        <is>
          <t>Aug</t>
        </is>
      </c>
      <c r="J8" s="14" t="inlineStr">
        <is>
          <t>Sep</t>
        </is>
      </c>
      <c r="K8" s="14" t="inlineStr">
        <is>
          <t>Oct</t>
        </is>
      </c>
      <c r="L8" s="14" t="inlineStr">
        <is>
          <t>Nov</t>
        </is>
      </c>
      <c r="M8" s="14" t="inlineStr">
        <is>
          <t>Dec</t>
        </is>
      </c>
      <c r="N8" s="14" t="inlineStr">
        <is>
          <t>Year / Rok</t>
        </is>
      </c>
    </row>
    <row r="9" ht="16" customHeight="1">
      <c r="A9" s="15" t="inlineStr">
        <is>
          <t>REVENUE / TRŽBY</t>
        </is>
      </c>
    </row>
    <row r="10" ht="16" customHeight="1">
      <c r="A10" s="16" t="inlineStr">
        <is>
          <t>Food sales / Tržby z jedál</t>
        </is>
      </c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8">
        <f>SUM(B9:M9)</f>
        <v/>
      </c>
    </row>
    <row r="11" ht="16" customHeight="1">
      <c r="A11" s="16" t="inlineStr">
        <is>
          <t>Drink sales / Tržby z nápojov</t>
        </is>
      </c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8">
        <f>SUM(B10:M10)</f>
        <v/>
      </c>
    </row>
    <row r="12" ht="16" customHeight="1">
      <c r="A12" s="16" t="inlineStr">
        <is>
          <t>Other income / Ostatné príjmy</t>
        </is>
      </c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8">
        <f>SUM(B11:M11)</f>
        <v/>
      </c>
    </row>
    <row r="13" ht="18" customHeight="1">
      <c r="A13" s="19" t="inlineStr">
        <is>
          <t>Total revenue / Tržby spolu</t>
        </is>
      </c>
      <c r="B13" s="20">
        <f>SUM(B9:B11)</f>
        <v/>
      </c>
      <c r="C13" s="20">
        <f>SUM(C9:C11)</f>
        <v/>
      </c>
      <c r="D13" s="20">
        <f>SUM(D9:D11)</f>
        <v/>
      </c>
      <c r="E13" s="20">
        <f>SUM(E9:E11)</f>
        <v/>
      </c>
      <c r="F13" s="20">
        <f>SUM(F9:F11)</f>
        <v/>
      </c>
      <c r="G13" s="20">
        <f>SUM(G9:G11)</f>
        <v/>
      </c>
      <c r="H13" s="20">
        <f>SUM(H9:H11)</f>
        <v/>
      </c>
      <c r="I13" s="20">
        <f>SUM(I9:I11)</f>
        <v/>
      </c>
      <c r="J13" s="20">
        <f>SUM(J9:J11)</f>
        <v/>
      </c>
      <c r="K13" s="20">
        <f>SUM(K9:K11)</f>
        <v/>
      </c>
      <c r="L13" s="20">
        <f>SUM(L9:L11)</f>
        <v/>
      </c>
      <c r="M13" s="20">
        <f>SUM(M9:M11)</f>
        <v/>
      </c>
      <c r="N13" s="18">
        <f>SUM(B12:M12)</f>
        <v/>
      </c>
    </row>
    <row r="14" ht="16" customHeight="1">
      <c r="A14" s="15" t="inlineStr">
        <is>
          <t>COST OF SALES / NÁKLADY NA PREDAJ</t>
        </is>
      </c>
    </row>
    <row r="15" ht="16" customHeight="1">
      <c r="A15" s="16" t="inlineStr">
        <is>
          <t>Food cost / Náklady na jedlo</t>
        </is>
      </c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8">
        <f>SUM(B14:M14)</f>
        <v/>
      </c>
    </row>
    <row r="16" ht="16" customHeight="1">
      <c r="A16" s="16" t="inlineStr">
        <is>
          <t>Drink cost / Náklady na nápoje</t>
        </is>
      </c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8">
        <f>SUM(B15:M15)</f>
        <v/>
      </c>
    </row>
    <row r="17" ht="16" customHeight="1">
      <c r="A17" s="19" t="inlineStr">
        <is>
          <t>Total cost of sales / Náklady na predaj spolu</t>
        </is>
      </c>
      <c r="B17" s="20">
        <f>SUM(B14:B15)</f>
        <v/>
      </c>
      <c r="C17" s="20">
        <f>SUM(C14:C15)</f>
        <v/>
      </c>
      <c r="D17" s="20">
        <f>SUM(D14:D15)</f>
        <v/>
      </c>
      <c r="E17" s="20">
        <f>SUM(E14:E15)</f>
        <v/>
      </c>
      <c r="F17" s="20">
        <f>SUM(F14:F15)</f>
        <v/>
      </c>
      <c r="G17" s="20">
        <f>SUM(G14:G15)</f>
        <v/>
      </c>
      <c r="H17" s="20">
        <f>SUM(H14:H15)</f>
        <v/>
      </c>
      <c r="I17" s="20">
        <f>SUM(I14:I15)</f>
        <v/>
      </c>
      <c r="J17" s="20">
        <f>SUM(J14:J15)</f>
        <v/>
      </c>
      <c r="K17" s="20">
        <f>SUM(K14:K15)</f>
        <v/>
      </c>
      <c r="L17" s="20">
        <f>SUM(L14:L15)</f>
        <v/>
      </c>
      <c r="M17" s="20">
        <f>SUM(M14:M15)</f>
        <v/>
      </c>
      <c r="N17" s="18">
        <f>SUM(B16:M16)</f>
        <v/>
      </c>
    </row>
    <row r="18" ht="18" customHeight="1">
      <c r="A18" s="19" t="inlineStr">
        <is>
          <t>GROSS PROFIT / HRUBÁ MARŽA</t>
        </is>
      </c>
      <c r="B18" s="20">
        <f>B12-B16</f>
        <v/>
      </c>
      <c r="C18" s="20">
        <f>C12-C16</f>
        <v/>
      </c>
      <c r="D18" s="20">
        <f>D12-D16</f>
        <v/>
      </c>
      <c r="E18" s="20">
        <f>E12-E16</f>
        <v/>
      </c>
      <c r="F18" s="20">
        <f>F12-F16</f>
        <v/>
      </c>
      <c r="G18" s="20">
        <f>G12-G16</f>
        <v/>
      </c>
      <c r="H18" s="20">
        <f>H12-H16</f>
        <v/>
      </c>
      <c r="I18" s="20">
        <f>I12-I16</f>
        <v/>
      </c>
      <c r="J18" s="20">
        <f>J12-J16</f>
        <v/>
      </c>
      <c r="K18" s="20">
        <f>K12-K16</f>
        <v/>
      </c>
      <c r="L18" s="20">
        <f>L12-L16</f>
        <v/>
      </c>
      <c r="M18" s="20">
        <f>M12-M16</f>
        <v/>
      </c>
      <c r="N18" s="18">
        <f>SUM(B17:M17)</f>
        <v/>
      </c>
    </row>
    <row r="19" ht="16" customHeight="1">
      <c r="A19" s="15" t="inlineStr">
        <is>
          <t>OVERHEADS / RÉŽIE</t>
        </is>
      </c>
    </row>
    <row r="20" ht="16" customHeight="1">
      <c r="A20" s="16" t="inlineStr">
        <is>
          <t>Wages &amp; labour / Mzdy a personál</t>
        </is>
      </c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  <c r="M20" s="17" t="inlineStr"/>
      <c r="N20" s="18">
        <f>SUM(B19:M19)</f>
        <v/>
      </c>
    </row>
    <row r="21" ht="16" customHeight="1">
      <c r="A21" s="16" t="inlineStr">
        <is>
          <t>Rent &amp; rates / Nájom a poplatky</t>
        </is>
      </c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  <c r="M21" s="17" t="inlineStr"/>
      <c r="N21" s="18">
        <f>SUM(B20:M20)</f>
        <v/>
      </c>
    </row>
    <row r="22" ht="16" customHeight="1">
      <c r="A22" s="16" t="inlineStr">
        <is>
          <t>Utilities / Energie</t>
        </is>
      </c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8">
        <f>SUM(B21:M21)</f>
        <v/>
      </c>
    </row>
    <row r="23" ht="16" customHeight="1">
      <c r="A23" s="16" t="inlineStr">
        <is>
          <t>Marketing / Marketing</t>
        </is>
      </c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8">
        <f>SUM(B22:M22)</f>
        <v/>
      </c>
    </row>
    <row r="24" ht="16" customHeight="1">
      <c r="A24" s="16" t="inlineStr">
        <is>
          <t>Other overheads / Ostatné réžie</t>
        </is>
      </c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/>
      <c r="L24" s="17" t="inlineStr"/>
      <c r="M24" s="17" t="inlineStr"/>
      <c r="N24" s="18">
        <f>SUM(B23:M23)</f>
        <v/>
      </c>
    </row>
    <row r="25" ht="16" customHeight="1">
      <c r="A25" s="19" t="inlineStr">
        <is>
          <t>Total overheads / Réžie spolu</t>
        </is>
      </c>
      <c r="B25" s="20">
        <f>SUM(B19:B23)</f>
        <v/>
      </c>
      <c r="C25" s="20">
        <f>SUM(C19:C23)</f>
        <v/>
      </c>
      <c r="D25" s="20">
        <f>SUM(D19:D23)</f>
        <v/>
      </c>
      <c r="E25" s="20">
        <f>SUM(E19:E23)</f>
        <v/>
      </c>
      <c r="F25" s="20">
        <f>SUM(F19:F23)</f>
        <v/>
      </c>
      <c r="G25" s="20">
        <f>SUM(G19:G23)</f>
        <v/>
      </c>
      <c r="H25" s="20">
        <f>SUM(H19:H23)</f>
        <v/>
      </c>
      <c r="I25" s="20">
        <f>SUM(I19:I23)</f>
        <v/>
      </c>
      <c r="J25" s="20">
        <f>SUM(J19:J23)</f>
        <v/>
      </c>
      <c r="K25" s="20">
        <f>SUM(K19:K23)</f>
        <v/>
      </c>
      <c r="L25" s="20">
        <f>SUM(L19:L23)</f>
        <v/>
      </c>
      <c r="M25" s="20">
        <f>SUM(M19:M23)</f>
        <v/>
      </c>
      <c r="N25" s="18">
        <f>SUM(B24:M24)</f>
        <v/>
      </c>
    </row>
    <row r="26" ht="18" customHeight="1">
      <c r="A26" s="19" t="inlineStr">
        <is>
          <t>NET PROFIT / ČISTÝ ZISK</t>
        </is>
      </c>
      <c r="B26" s="20">
        <f>B17-B24</f>
        <v/>
      </c>
      <c r="C26" s="20">
        <f>C17-C24</f>
        <v/>
      </c>
      <c r="D26" s="20">
        <f>D17-D24</f>
        <v/>
      </c>
      <c r="E26" s="20">
        <f>E17-E24</f>
        <v/>
      </c>
      <c r="F26" s="20">
        <f>F17-F24</f>
        <v/>
      </c>
      <c r="G26" s="20">
        <f>G17-G24</f>
        <v/>
      </c>
      <c r="H26" s="20">
        <f>H17-H24</f>
        <v/>
      </c>
      <c r="I26" s="20">
        <f>I17-I24</f>
        <v/>
      </c>
      <c r="J26" s="20">
        <f>J17-J24</f>
        <v/>
      </c>
      <c r="K26" s="20">
        <f>K17-K24</f>
        <v/>
      </c>
      <c r="L26" s="20">
        <f>L17-L24</f>
        <v/>
      </c>
      <c r="M26" s="20">
        <f>M17-M24</f>
        <v/>
      </c>
      <c r="N26" s="18">
        <f>SUM(B25:M25)</f>
        <v/>
      </c>
    </row>
    <row r="27" ht="16" customHeight="1">
      <c r="A27" s="15" t="inlineStr">
        <is>
          <t>CASH POSITION / HOTOVOSŤ</t>
        </is>
      </c>
    </row>
    <row r="28" ht="16" customHeight="1">
      <c r="A28" s="16" t="inlineStr">
        <is>
          <t>Opening cash / Počiatočná hotovosť</t>
        </is>
      </c>
      <c r="B28" s="21" t="n"/>
      <c r="C28" s="20">
        <f>B28</f>
        <v/>
      </c>
      <c r="D28" s="20">
        <f>C28</f>
        <v/>
      </c>
      <c r="E28" s="20">
        <f>D28</f>
        <v/>
      </c>
      <c r="F28" s="20">
        <f>E28</f>
        <v/>
      </c>
      <c r="G28" s="20">
        <f>F28</f>
        <v/>
      </c>
      <c r="H28" s="20">
        <f>G28</f>
        <v/>
      </c>
      <c r="I28" s="20">
        <f>H28</f>
        <v/>
      </c>
      <c r="J28" s="20">
        <f>I28</f>
        <v/>
      </c>
      <c r="K28" s="20">
        <f>J28</f>
        <v/>
      </c>
      <c r="L28" s="20">
        <f>K28</f>
        <v/>
      </c>
      <c r="M28" s="20">
        <f>L28</f>
        <v/>
      </c>
      <c r="N28" s="22">
        <f>B27</f>
        <v/>
      </c>
    </row>
    <row r="29">
      <c r="A29" s="23" t="inlineStr">
        <is>
          <t>Closing cash / Koncová hotovosť</t>
        </is>
      </c>
      <c r="B29" s="18">
        <f>B27+B25</f>
        <v/>
      </c>
      <c r="C29" s="18">
        <f>C27+C25</f>
        <v/>
      </c>
      <c r="D29" s="18">
        <f>D27+D25</f>
        <v/>
      </c>
      <c r="E29" s="18">
        <f>E27+E25</f>
        <v/>
      </c>
      <c r="F29" s="18">
        <f>F27+F25</f>
        <v/>
      </c>
      <c r="G29" s="18">
        <f>G27+G25</f>
        <v/>
      </c>
      <c r="H29" s="18">
        <f>H27+H25</f>
        <v/>
      </c>
      <c r="I29" s="18">
        <f>I27+I25</f>
        <v/>
      </c>
      <c r="J29" s="18">
        <f>J27+J25</f>
        <v/>
      </c>
      <c r="K29" s="18">
        <f>K27+K25</f>
        <v/>
      </c>
      <c r="L29" s="18">
        <f>L27+L25</f>
        <v/>
      </c>
      <c r="M29" s="18">
        <f>M27+M25</f>
        <v/>
      </c>
      <c r="N29" s="22">
        <f>M28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9">
    <mergeCell ref="A18:N18"/>
    <mergeCell ref="A8:N8"/>
    <mergeCell ref="A6:N6"/>
    <mergeCell ref="A26:N26"/>
    <mergeCell ref="B4:N4"/>
    <mergeCell ref="A2:N2"/>
    <mergeCell ref="B3:N3"/>
    <mergeCell ref="A13:N13"/>
    <mergeCell ref="A1:N1"/>
  </mergeCells>
  <conditionalFormatting sqref="B28:M28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</cols>
  <sheetData>
    <row r="1" ht="22" customHeight="1">
      <c r="A1" s="1" t="inlineStr">
        <is>
          <t>DEMO — PREVIEW ONLY · NOT FOR RESALE · ukážka — buy the full bundle to unlock editing</t>
        </is>
      </c>
    </row>
    <row r="2" ht="26" customHeight="1">
      <c r="A2" s="9" t="inlineStr">
        <is>
          <t>Recipe &amp; Menu GP Costing Calculator  |  Kalkulačka nákladov a hrubej marže receptúr</t>
        </is>
      </c>
    </row>
    <row r="3">
      <c r="A3" s="10" t="inlineStr">
        <is>
          <t>Plate cost, gross-profit % and suggested price per dish or drink  ·  Náklady na porciu, hrubá marža (%) a odporúčaná cena</t>
        </is>
      </c>
    </row>
    <row r="4">
      <c r="A4" s="11" t="inlineStr">
        <is>
          <t>Business name / Názov prevádzky:</t>
        </is>
      </c>
      <c r="B4" s="12" t="inlineStr"/>
    </row>
    <row r="5" ht="30" customHeight="1"/>
    <row r="6" ht="38" customHeight="1">
      <c r="A6" s="13" t="inlineStr">
        <is>
          <t>ℹ  Enter ingredient cost and your target GP%. The suggested ex-VAT price is calculated; GP% on your actual menu price is shown alongside.
    Zadajte náklady a cieľovú maržu. Odporúčaná cena (bez DPH) sa vypočíta; vedľa vidíte maržu pri vašej reálnej cene.</t>
        </is>
      </c>
    </row>
    <row r="7" ht="18" customHeight="1">
      <c r="A7" s="14" t="inlineStr">
        <is>
          <t>Dish / drink
Jedlo / nápoj</t>
        </is>
      </c>
      <c r="B7" s="14" t="inlineStr">
        <is>
          <t>Portion size
Veľkosť porcie</t>
        </is>
      </c>
      <c r="C7" s="14" t="inlineStr">
        <is>
          <t>Ingredient cost €
Náklady €</t>
        </is>
      </c>
      <c r="D7" s="14" t="inlineStr">
        <is>
          <t>Target GP %
Cieľová marža %</t>
        </is>
      </c>
      <c r="E7" s="14" t="inlineStr">
        <is>
          <t>Suggested price € (ex-VAT)
Odpor. cena €</t>
        </is>
      </c>
      <c r="F7" s="14" t="inlineStr">
        <is>
          <t>Menu price € (ex-VAT)
Cena v menu €</t>
        </is>
      </c>
      <c r="G7" s="14" t="inlineStr">
        <is>
          <t>Actual GP %
Reálna marža %</t>
        </is>
      </c>
      <c r="H7" s="14" t="inlineStr">
        <is>
          <t>Flag
Upozornenie</t>
        </is>
      </c>
    </row>
    <row r="8" ht="18" customHeight="1">
      <c r="A8" s="24" t="inlineStr">
        <is>
          <t>Brown soda bread basket</t>
        </is>
      </c>
      <c r="B8" s="25" t="inlineStr">
        <is>
          <t>120 g</t>
        </is>
      </c>
      <c r="C8" s="26" t="n">
        <v>0.45</v>
      </c>
      <c r="D8" s="27" t="n">
        <v>0.7</v>
      </c>
      <c r="E8" s="28">
        <f>IF(OR(C7="",D7=""),"",C7/(1-D7))</f>
        <v/>
      </c>
      <c r="F8" s="29" t="n"/>
      <c r="G8" s="30">
        <f>IF(OR(F7="",C7=""),"",(F7-C7)/F7)</f>
        <v/>
      </c>
      <c r="H8" s="25">
        <f>IF(OR(G7="",D7=""),"",IF(G7&lt;D7,"LOW","OK"))</f>
        <v/>
      </c>
    </row>
    <row r="9" ht="18" customHeight="1">
      <c r="A9" s="24" t="inlineStr">
        <is>
          <t>Seafood chowder</t>
        </is>
      </c>
      <c r="B9" s="25" t="inlineStr">
        <is>
          <t>350 ml</t>
        </is>
      </c>
      <c r="C9" s="26" t="n">
        <v>2.1</v>
      </c>
      <c r="D9" s="27" t="n">
        <v>0.68</v>
      </c>
      <c r="E9" s="28">
        <f>IF(OR(C8="",D8=""),"",C8/(1-D8))</f>
        <v/>
      </c>
      <c r="F9" s="29" t="n"/>
      <c r="G9" s="30">
        <f>IF(OR(F8="",C8=""),"",(F8-C8)/F8)</f>
        <v/>
      </c>
      <c r="H9" s="25">
        <f>IF(OR(G8="",D8=""),"",IF(G8&lt;D8,"LOW","OK"))</f>
        <v/>
      </c>
    </row>
    <row r="10" ht="18" customHeight="1">
      <c r="A10" s="24" t="inlineStr">
        <is>
          <t>Beef burger &amp; chips</t>
        </is>
      </c>
      <c r="B10" s="25" t="inlineStr">
        <is>
          <t>300 g</t>
        </is>
      </c>
      <c r="C10" s="26" t="n">
        <v>3.4</v>
      </c>
      <c r="D10" s="27" t="n">
        <v>0.68</v>
      </c>
      <c r="E10" s="28">
        <f>IF(OR(C9="",D9=""),"",C9/(1-D9))</f>
        <v/>
      </c>
      <c r="F10" s="29" t="n"/>
      <c r="G10" s="30">
        <f>IF(OR(F9="",C9=""),"",(F9-C9)/F9)</f>
        <v/>
      </c>
      <c r="H10" s="25">
        <f>IF(OR(G9="",D9=""),"",IF(G9&lt;D9,"LOW","OK"))</f>
        <v/>
      </c>
    </row>
    <row r="11" ht="18" customHeight="1">
      <c r="A11" s="24" t="inlineStr">
        <is>
          <t>House cappuccino</t>
        </is>
      </c>
      <c r="B11" s="25" t="inlineStr">
        <is>
          <t>240 ml</t>
        </is>
      </c>
      <c r="C11" s="26" t="n">
        <v>0.55</v>
      </c>
      <c r="D11" s="27" t="n">
        <v>0.85</v>
      </c>
      <c r="E11" s="28">
        <f>IF(OR(C10="",D10=""),"",C10/(1-D10))</f>
        <v/>
      </c>
      <c r="F11" s="29" t="n"/>
      <c r="G11" s="30">
        <f>IF(OR(F10="",C10=""),"",(F10-C10)/F10)</f>
        <v/>
      </c>
      <c r="H11" s="25">
        <f>IF(OR(G10="",D10=""),"",IF(G10&lt;D10,"LOW","OK"))</f>
        <v/>
      </c>
    </row>
    <row r="12" ht="18" customHeight="1">
      <c r="A12" s="24" t="inlineStr">
        <is>
          <t>Pint craft lager</t>
        </is>
      </c>
      <c r="B12" s="25" t="inlineStr">
        <is>
          <t>568 ml</t>
        </is>
      </c>
      <c r="C12" s="26" t="n">
        <v>1.95</v>
      </c>
      <c r="D12" s="27" t="n">
        <v>0.55</v>
      </c>
      <c r="E12" s="28">
        <f>IF(OR(C11="",D11=""),"",C11/(1-D11))</f>
        <v/>
      </c>
      <c r="F12" s="29" t="n"/>
      <c r="G12" s="30">
        <f>IF(OR(F11="",C11=""),"",(F11-C11)/F11)</f>
        <v/>
      </c>
      <c r="H12" s="25">
        <f>IF(OR(G11="",D11=""),"",IF(G11&lt;D11,"LOW","OK"))</f>
        <v/>
      </c>
    </row>
    <row r="13" ht="18" customHeight="1">
      <c r="A13" s="31" t="inlineStr"/>
      <c r="B13" s="25" t="inlineStr"/>
      <c r="C13" s="26" t="inlineStr"/>
      <c r="D13" s="27" t="inlineStr"/>
      <c r="E13" s="28">
        <f>IF(OR(C12="",D12=""),"",C12/(1-D12))</f>
        <v/>
      </c>
      <c r="F13" s="29" t="n"/>
      <c r="G13" s="30">
        <f>IF(OR(F12="",C12=""),"",(F12-C12)/F12)</f>
        <v/>
      </c>
      <c r="H13" s="25">
        <f>IF(OR(G12="",D12=""),"",IF(G12&lt;D12,"LOW","OK"))</f>
        <v/>
      </c>
    </row>
    <row r="14" ht="18" customHeight="1">
      <c r="A14" s="31" t="inlineStr"/>
      <c r="B14" s="25" t="inlineStr"/>
      <c r="C14" s="26" t="inlineStr"/>
      <c r="D14" s="27" t="inlineStr"/>
      <c r="E14" s="28">
        <f>IF(OR(C13="",D13=""),"",C13/(1-D13))</f>
        <v/>
      </c>
      <c r="F14" s="29" t="n"/>
      <c r="G14" s="30">
        <f>IF(OR(F13="",C13=""),"",(F13-C13)/F13)</f>
        <v/>
      </c>
      <c r="H14" s="25">
        <f>IF(OR(G13="",D13=""),"",IF(G13&lt;D13,"LOW","OK"))</f>
        <v/>
      </c>
    </row>
    <row r="15" ht="18" customHeight="1">
      <c r="A15" s="31" t="inlineStr"/>
      <c r="B15" s="25" t="inlineStr"/>
      <c r="C15" s="26" t="inlineStr"/>
      <c r="D15" s="27" t="inlineStr"/>
      <c r="E15" s="28">
        <f>IF(OR(C14="",D14=""),"",C14/(1-D14))</f>
        <v/>
      </c>
      <c r="F15" s="29" t="n"/>
      <c r="G15" s="30">
        <f>IF(OR(F14="",C14=""),"",(F14-C14)/F14)</f>
        <v/>
      </c>
      <c r="H15" s="25">
        <f>IF(OR(G14="",D14=""),"",IF(G14&lt;D14,"LOW","OK"))</f>
        <v/>
      </c>
    </row>
    <row r="16" ht="18" customHeight="1">
      <c r="A16" s="31" t="inlineStr"/>
      <c r="B16" s="25" t="inlineStr"/>
      <c r="C16" s="26" t="inlineStr"/>
      <c r="D16" s="27" t="inlineStr"/>
      <c r="E16" s="28">
        <f>IF(OR(C15="",D15=""),"",C15/(1-D15))</f>
        <v/>
      </c>
      <c r="F16" s="29" t="n"/>
      <c r="G16" s="30">
        <f>IF(OR(F15="",C15=""),"",(F15-C15)/F15)</f>
        <v/>
      </c>
      <c r="H16" s="25">
        <f>IF(OR(G15="",D15=""),"",IF(G15&lt;D15,"LOW","OK"))</f>
        <v/>
      </c>
    </row>
    <row r="17" ht="18" customHeight="1">
      <c r="A17" s="31" t="inlineStr"/>
      <c r="B17" s="25" t="inlineStr"/>
      <c r="C17" s="26" t="inlineStr"/>
      <c r="D17" s="27" t="inlineStr"/>
      <c r="E17" s="28">
        <f>IF(OR(C16="",D16=""),"",C16/(1-D16))</f>
        <v/>
      </c>
      <c r="F17" s="29" t="n"/>
      <c r="G17" s="30">
        <f>IF(OR(F16="",C16=""),"",(F16-C16)/F16)</f>
        <v/>
      </c>
      <c r="H17" s="25">
        <f>IF(OR(G16="",D16=""),"",IF(G16&lt;D16,"LOW","OK"))</f>
        <v/>
      </c>
    </row>
    <row r="18" ht="18" customHeight="1">
      <c r="A18" s="31" t="inlineStr"/>
      <c r="B18" s="25" t="inlineStr"/>
      <c r="C18" s="26" t="inlineStr"/>
      <c r="D18" s="27" t="inlineStr"/>
      <c r="E18" s="28">
        <f>IF(OR(C17="",D17=""),"",C17/(1-D17))</f>
        <v/>
      </c>
      <c r="F18" s="29" t="n"/>
      <c r="G18" s="30">
        <f>IF(OR(F17="",C17=""),"",(F17-C17)/F17)</f>
        <v/>
      </c>
      <c r="H18" s="25">
        <f>IF(OR(G17="",D17=""),"",IF(G17&lt;D17,"LOW","OK"))</f>
        <v/>
      </c>
    </row>
    <row r="19" ht="18" customHeight="1">
      <c r="A19" s="31" t="inlineStr"/>
      <c r="B19" s="25" t="inlineStr"/>
      <c r="C19" s="26" t="inlineStr"/>
      <c r="D19" s="27" t="inlineStr"/>
      <c r="E19" s="28">
        <f>IF(OR(C18="",D18=""),"",C18/(1-D18))</f>
        <v/>
      </c>
      <c r="F19" s="29" t="n"/>
      <c r="G19" s="30">
        <f>IF(OR(F18="",C18=""),"",(F18-C18)/F18)</f>
        <v/>
      </c>
      <c r="H19" s="25">
        <f>IF(OR(G18="",D18=""),"",IF(G18&lt;D18,"LOW","OK"))</f>
        <v/>
      </c>
    </row>
    <row r="20" ht="18" customHeight="1">
      <c r="A20" s="31" t="inlineStr"/>
      <c r="B20" s="25" t="inlineStr"/>
      <c r="C20" s="26" t="inlineStr"/>
      <c r="D20" s="27" t="inlineStr"/>
      <c r="E20" s="28">
        <f>IF(OR(C19="",D19=""),"",C19/(1-D19))</f>
        <v/>
      </c>
      <c r="F20" s="29" t="n"/>
      <c r="G20" s="30">
        <f>IF(OR(F19="",C19=""),"",(F19-C19)/F19)</f>
        <v/>
      </c>
      <c r="H20" s="25">
        <f>IF(OR(G19="",D19=""),"",IF(G19&lt;D19,"LOW","OK"))</f>
        <v/>
      </c>
    </row>
    <row r="21" ht="18" customHeight="1">
      <c r="A21" s="31" t="inlineStr"/>
      <c r="B21" s="25" t="inlineStr"/>
      <c r="C21" s="26" t="inlineStr"/>
      <c r="D21" s="27" t="inlineStr"/>
      <c r="E21" s="28">
        <f>IF(OR(C20="",D20=""),"",C20/(1-D20))</f>
        <v/>
      </c>
      <c r="F21" s="29" t="n"/>
      <c r="G21" s="30">
        <f>IF(OR(F20="",C20=""),"",(F20-C20)/F20)</f>
        <v/>
      </c>
      <c r="H21" s="25">
        <f>IF(OR(G20="",D20=""),"",IF(G20&lt;D20,"LOW","OK"))</f>
        <v/>
      </c>
    </row>
    <row r="22" ht="18" customHeight="1">
      <c r="A22" s="31" t="inlineStr"/>
      <c r="B22" s="25" t="inlineStr"/>
      <c r="C22" s="26" t="inlineStr"/>
      <c r="D22" s="27" t="inlineStr"/>
      <c r="E22" s="28">
        <f>IF(OR(C21="",D21=""),"",C21/(1-D21))</f>
        <v/>
      </c>
      <c r="F22" s="29" t="n"/>
      <c r="G22" s="30">
        <f>IF(OR(F21="",C21=""),"",(F21-C21)/F21)</f>
        <v/>
      </c>
      <c r="H22" s="25">
        <f>IF(OR(G21="",D21=""),"",IF(G21&lt;D21,"LOW","OK"))</f>
        <v/>
      </c>
    </row>
    <row r="23" ht="18" customHeight="1">
      <c r="A23" s="31" t="inlineStr"/>
      <c r="B23" s="25" t="inlineStr"/>
      <c r="C23" s="26" t="inlineStr"/>
      <c r="D23" s="27" t="inlineStr"/>
      <c r="E23" s="28">
        <f>IF(OR(C22="",D22=""),"",C22/(1-D22))</f>
        <v/>
      </c>
      <c r="F23" s="29" t="n"/>
      <c r="G23" s="30">
        <f>IF(OR(F22="",C22=""),"",(F22-C22)/F22)</f>
        <v/>
      </c>
      <c r="H23" s="25">
        <f>IF(OR(G22="",D22=""),"",IF(G22&lt;D22,"LOW","OK"))</f>
        <v/>
      </c>
    </row>
    <row r="24" ht="18" customHeight="1">
      <c r="A24" s="31" t="inlineStr"/>
      <c r="B24" s="25" t="inlineStr"/>
      <c r="C24" s="26" t="inlineStr"/>
      <c r="D24" s="27" t="inlineStr"/>
      <c r="E24" s="28">
        <f>IF(OR(C23="",D23=""),"",C23/(1-D23))</f>
        <v/>
      </c>
      <c r="F24" s="29" t="n"/>
      <c r="G24" s="30">
        <f>IF(OR(F23="",C23=""),"",(F23-C23)/F23)</f>
        <v/>
      </c>
      <c r="H24" s="25">
        <f>IF(OR(G23="",D23=""),"",IF(G23&lt;D23,"LOW","OK"))</f>
        <v/>
      </c>
    </row>
    <row r="25" ht="18" customHeight="1">
      <c r="A25" s="31" t="inlineStr"/>
      <c r="B25" s="25" t="inlineStr"/>
      <c r="C25" s="26" t="inlineStr"/>
      <c r="D25" s="27" t="inlineStr"/>
      <c r="E25" s="28">
        <f>IF(OR(C24="",D24=""),"",C24/(1-D24))</f>
        <v/>
      </c>
      <c r="F25" s="29" t="n"/>
      <c r="G25" s="30">
        <f>IF(OR(F24="",C24=""),"",(F24-C24)/F24)</f>
        <v/>
      </c>
      <c r="H25" s="25">
        <f>IF(OR(G24="",D24=""),"",IF(G24&lt;D24,"LOW","OK"))</f>
        <v/>
      </c>
    </row>
    <row r="26" ht="18" customHeight="1">
      <c r="A26" s="31" t="inlineStr"/>
      <c r="B26" s="25" t="inlineStr"/>
      <c r="C26" s="26" t="inlineStr"/>
      <c r="D26" s="27" t="inlineStr"/>
      <c r="E26" s="28">
        <f>IF(OR(C25="",D25=""),"",C25/(1-D25))</f>
        <v/>
      </c>
      <c r="F26" s="29" t="n"/>
      <c r="G26" s="30">
        <f>IF(OR(F25="",C25=""),"",(F25-C25)/F25)</f>
        <v/>
      </c>
      <c r="H26" s="25">
        <f>IF(OR(G25="",D25=""),"",IF(G25&lt;D25,"LOW","OK"))</f>
        <v/>
      </c>
    </row>
    <row r="27" ht="18" customHeight="1">
      <c r="A27" s="31" t="inlineStr"/>
      <c r="B27" s="25" t="inlineStr"/>
      <c r="C27" s="26" t="inlineStr"/>
      <c r="D27" s="27" t="inlineStr"/>
      <c r="E27" s="28">
        <f>IF(OR(C26="",D26=""),"",C26/(1-D26))</f>
        <v/>
      </c>
      <c r="F27" s="29" t="n"/>
      <c r="G27" s="30">
        <f>IF(OR(F26="",C26=""),"",(F26-C26)/F26)</f>
        <v/>
      </c>
      <c r="H27" s="25">
        <f>IF(OR(G26="",D26=""),"",IF(G26&lt;D26,"LOW","OK"))</f>
        <v/>
      </c>
    </row>
    <row r="28" ht="18" customHeight="1">
      <c r="A28" s="31" t="inlineStr"/>
      <c r="B28" s="25" t="inlineStr"/>
      <c r="C28" s="26" t="inlineStr"/>
      <c r="D28" s="27" t="inlineStr"/>
      <c r="E28" s="28">
        <f>IF(OR(C27="",D27=""),"",C27/(1-D27))</f>
        <v/>
      </c>
      <c r="F28" s="29" t="n"/>
      <c r="G28" s="30">
        <f>IF(OR(F27="",C27=""),"",(F27-C27)/F27)</f>
        <v/>
      </c>
      <c r="H28" s="25">
        <f>IF(OR(G27="",D27=""),"",IF(G27&lt;D27,"LOW","OK"))</f>
        <v/>
      </c>
    </row>
    <row r="29">
      <c r="A29" s="31" t="inlineStr"/>
      <c r="B29" s="25" t="inlineStr"/>
      <c r="C29" s="26" t="inlineStr"/>
      <c r="D29" s="27" t="inlineStr"/>
      <c r="E29" s="28">
        <f>IF(OR(C28="",D28=""),"",C28/(1-D28))</f>
        <v/>
      </c>
      <c r="F29" s="29" t="n"/>
      <c r="G29" s="30">
        <f>IF(OR(F28="",C28=""),"",(F28-C28)/F28)</f>
        <v/>
      </c>
      <c r="H29" s="25">
        <f>IF(OR(G28="",D28=""),"",IF(G28&lt;D28,"LOW","OK"))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4">
    <mergeCell ref="B3:H3"/>
    <mergeCell ref="A2:H2"/>
    <mergeCell ref="A5:H5"/>
    <mergeCell ref="A1:H1"/>
  </mergeCells>
  <conditionalFormatting sqref="H7:H28">
    <cfRule type="cellIs" priority="1" operator="equal" dxfId="0">
      <formula>"LOW"</formula>
    </cfRule>
    <cfRule type="cellIs" priority="2" operator="equal" dxfId="1">
      <formula>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H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2" customHeight="1">
      <c r="A1" s="1" t="inlineStr">
        <is>
          <t>DEMO — PREVIEW ONLY · NOT FOR RESALE · ukážka — buy the full bundle to unlock editing</t>
        </is>
      </c>
    </row>
    <row r="2" ht="26" customHeight="1">
      <c r="A2" s="9" t="inlineStr">
        <is>
          <t>Stock &amp; Wastage Tracker  |  Sledovač zásob a strát</t>
        </is>
      </c>
    </row>
    <row r="3">
      <c r="A3" s="10" t="inlineStr">
        <is>
          <t>Opening + purchases − closing = usage; wastage value highlights where GP leaks  ·  Počiatočné + nákup − koncové = spotreba; hodnota strát ukáže únik marže</t>
        </is>
      </c>
    </row>
    <row r="4">
      <c r="A4" s="11" t="inlineStr">
        <is>
          <t>Business name / Názov prevádzky:</t>
        </is>
      </c>
      <c r="B4" s="12" t="inlineStr"/>
    </row>
    <row r="5">
      <c r="A5" s="11" t="inlineStr">
        <is>
          <t>Period (DD/MM/YYYY) / Obdobie:</t>
        </is>
      </c>
      <c r="B5" s="12" t="inlineStr"/>
    </row>
    <row r="6" ht="30" customHeight="1"/>
    <row r="7" ht="38" customHeight="1">
      <c r="A7" s="13" t="inlineStr">
        <is>
          <t>ℹ  Usage and wastage value calculate automatically. High wastage rows turn red so you can act on shrinkage and over-pour.
    Spotreba a hodnota strát sa počítajú automaticky. Riadky s vysokými stratami zčervenajú.</t>
        </is>
      </c>
    </row>
    <row r="8" ht="18" customHeight="1">
      <c r="A8" s="14" t="inlineStr">
        <is>
          <t>Item
Položka</t>
        </is>
      </c>
      <c r="B8" s="14" t="inlineStr">
        <is>
          <t>Unit
Jednotka</t>
        </is>
      </c>
      <c r="C8" s="14" t="inlineStr">
        <is>
          <t>Opening
Počiatočné</t>
        </is>
      </c>
      <c r="D8" s="14" t="inlineStr">
        <is>
          <t>Purchases
Nákup</t>
        </is>
      </c>
      <c r="E8" s="14" t="inlineStr">
        <is>
          <t>Closing
Koncové</t>
        </is>
      </c>
      <c r="F8" s="14" t="inlineStr">
        <is>
          <t>Wastage qty
Straty (množ.)</t>
        </is>
      </c>
      <c r="G8" s="14" t="inlineStr">
        <is>
          <t>Unit cost €
Cena/jedn. €</t>
        </is>
      </c>
      <c r="H8" s="14" t="inlineStr">
        <is>
          <t>Wastage value €
Hodnota strát €</t>
        </is>
      </c>
    </row>
    <row r="9" ht="18" customHeight="1">
      <c r="A9" s="24" t="inlineStr">
        <is>
          <t>Draught lager</t>
        </is>
      </c>
      <c r="B9" s="25" t="inlineStr">
        <is>
          <t>L</t>
        </is>
      </c>
      <c r="C9" s="29" t="n">
        <v>80</v>
      </c>
      <c r="D9" s="29" t="n">
        <v>220</v>
      </c>
      <c r="E9" s="29" t="n">
        <v>60</v>
      </c>
      <c r="F9" s="29" t="n">
        <v>4</v>
      </c>
      <c r="G9" s="26" t="n">
        <v>4</v>
      </c>
      <c r="H9" s="28">
        <f>IF(OR(F8="",G8=""),"",F8*G8)</f>
        <v/>
      </c>
    </row>
    <row r="10" ht="18" customHeight="1">
      <c r="A10" s="24" t="inlineStr">
        <is>
          <t>House red wine</t>
        </is>
      </c>
      <c r="B10" s="25" t="inlineStr">
        <is>
          <t>btl</t>
        </is>
      </c>
      <c r="C10" s="29" t="n">
        <v>24</v>
      </c>
      <c r="D10" s="29" t="n">
        <v>60</v>
      </c>
      <c r="E10" s="29" t="n">
        <v>30</v>
      </c>
      <c r="F10" s="29" t="n">
        <v>1</v>
      </c>
      <c r="G10" s="26" t="n">
        <v>1</v>
      </c>
      <c r="H10" s="28">
        <f>IF(OR(F9="",G9=""),"",F9*G9)</f>
        <v/>
      </c>
    </row>
    <row r="11" ht="18" customHeight="1">
      <c r="A11" s="24" t="inlineStr">
        <is>
          <t>Fresh fish</t>
        </is>
      </c>
      <c r="B11" s="25" t="inlineStr">
        <is>
          <t>kg</t>
        </is>
      </c>
      <c r="C11" s="29" t="n">
        <v>5</v>
      </c>
      <c r="D11" s="29" t="n">
        <v>30</v>
      </c>
      <c r="E11" s="29" t="n">
        <v>2</v>
      </c>
      <c r="F11" s="29" t="n">
        <v>1.5</v>
      </c>
      <c r="G11" s="26" t="n">
        <v>1.5</v>
      </c>
      <c r="H11" s="28">
        <f>IF(OR(F10="",G10=""),"",F10*G10)</f>
        <v/>
      </c>
    </row>
    <row r="12" ht="18" customHeight="1">
      <c r="A12" s="24" t="inlineStr">
        <is>
          <t>Rib-eye steak</t>
        </is>
      </c>
      <c r="B12" s="25" t="inlineStr">
        <is>
          <t>kg</t>
        </is>
      </c>
      <c r="C12" s="29" t="n">
        <v>8</v>
      </c>
      <c r="D12" s="29" t="n">
        <v>25</v>
      </c>
      <c r="E12" s="29" t="n">
        <v>6</v>
      </c>
      <c r="F12" s="29" t="n">
        <v>0.5</v>
      </c>
      <c r="G12" s="26" t="n">
        <v>0.5</v>
      </c>
      <c r="H12" s="28">
        <f>IF(OR(F11="",G11=""),"",F11*G11)</f>
        <v/>
      </c>
    </row>
    <row r="13" ht="18" customHeight="1">
      <c r="A13" s="24" t="inlineStr">
        <is>
          <t>Milk</t>
        </is>
      </c>
      <c r="B13" s="25" t="inlineStr">
        <is>
          <t>L</t>
        </is>
      </c>
      <c r="C13" s="29" t="n">
        <v>20</v>
      </c>
      <c r="D13" s="29" t="n">
        <v>120</v>
      </c>
      <c r="E13" s="29" t="n">
        <v>25</v>
      </c>
      <c r="F13" s="29" t="n">
        <v>3</v>
      </c>
      <c r="G13" s="26" t="n">
        <v>3</v>
      </c>
      <c r="H13" s="28">
        <f>IF(OR(F12="",G12=""),"",F12*G12)</f>
        <v/>
      </c>
    </row>
    <row r="14" ht="18" customHeight="1">
      <c r="A14" s="31" t="inlineStr"/>
      <c r="B14" s="25" t="inlineStr"/>
      <c r="C14" s="29" t="inlineStr"/>
      <c r="D14" s="29" t="inlineStr"/>
      <c r="E14" s="29" t="inlineStr"/>
      <c r="F14" s="29" t="inlineStr"/>
      <c r="G14" s="26" t="inlineStr"/>
      <c r="H14" s="28">
        <f>IF(OR(F13="",G13=""),"",F13*G13)</f>
        <v/>
      </c>
    </row>
    <row r="15" ht="18" customHeight="1">
      <c r="A15" s="31" t="inlineStr"/>
      <c r="B15" s="25" t="inlineStr"/>
      <c r="C15" s="29" t="inlineStr"/>
      <c r="D15" s="29" t="inlineStr"/>
      <c r="E15" s="29" t="inlineStr"/>
      <c r="F15" s="29" t="inlineStr"/>
      <c r="G15" s="26" t="inlineStr"/>
      <c r="H15" s="28">
        <f>IF(OR(F14="",G14=""),"",F14*G14)</f>
        <v/>
      </c>
    </row>
    <row r="16" ht="18" customHeight="1">
      <c r="A16" s="31" t="inlineStr"/>
      <c r="B16" s="25" t="inlineStr"/>
      <c r="C16" s="29" t="inlineStr"/>
      <c r="D16" s="29" t="inlineStr"/>
      <c r="E16" s="29" t="inlineStr"/>
      <c r="F16" s="29" t="inlineStr"/>
      <c r="G16" s="26" t="inlineStr"/>
      <c r="H16" s="28">
        <f>IF(OR(F15="",G15=""),"",F15*G15)</f>
        <v/>
      </c>
    </row>
    <row r="17" ht="18" customHeight="1">
      <c r="A17" s="31" t="inlineStr"/>
      <c r="B17" s="25" t="inlineStr"/>
      <c r="C17" s="29" t="inlineStr"/>
      <c r="D17" s="29" t="inlineStr"/>
      <c r="E17" s="29" t="inlineStr"/>
      <c r="F17" s="29" t="inlineStr"/>
      <c r="G17" s="26" t="inlineStr"/>
      <c r="H17" s="28">
        <f>IF(OR(F16="",G16=""),"",F16*G16)</f>
        <v/>
      </c>
    </row>
    <row r="18" ht="18" customHeight="1">
      <c r="A18" s="31" t="inlineStr"/>
      <c r="B18" s="25" t="inlineStr"/>
      <c r="C18" s="29" t="inlineStr"/>
      <c r="D18" s="29" t="inlineStr"/>
      <c r="E18" s="29" t="inlineStr"/>
      <c r="F18" s="29" t="inlineStr"/>
      <c r="G18" s="26" t="inlineStr"/>
      <c r="H18" s="28">
        <f>IF(OR(F17="",G17=""),"",F17*G17)</f>
        <v/>
      </c>
    </row>
    <row r="19" ht="18" customHeight="1">
      <c r="A19" s="31" t="inlineStr"/>
      <c r="B19" s="25" t="inlineStr"/>
      <c r="C19" s="29" t="inlineStr"/>
      <c r="D19" s="29" t="inlineStr"/>
      <c r="E19" s="29" t="inlineStr"/>
      <c r="F19" s="29" t="inlineStr"/>
      <c r="G19" s="26" t="inlineStr"/>
      <c r="H19" s="28">
        <f>IF(OR(F18="",G18=""),"",F18*G18)</f>
        <v/>
      </c>
    </row>
    <row r="20" ht="18" customHeight="1">
      <c r="A20" s="31" t="inlineStr"/>
      <c r="B20" s="25" t="inlineStr"/>
      <c r="C20" s="29" t="inlineStr"/>
      <c r="D20" s="29" t="inlineStr"/>
      <c r="E20" s="29" t="inlineStr"/>
      <c r="F20" s="29" t="inlineStr"/>
      <c r="G20" s="26" t="inlineStr"/>
      <c r="H20" s="28">
        <f>IF(OR(F19="",G19=""),"",F19*G19)</f>
        <v/>
      </c>
    </row>
    <row r="21" ht="18" customHeight="1">
      <c r="A21" s="31" t="inlineStr"/>
      <c r="B21" s="25" t="inlineStr"/>
      <c r="C21" s="29" t="inlineStr"/>
      <c r="D21" s="29" t="inlineStr"/>
      <c r="E21" s="29" t="inlineStr"/>
      <c r="F21" s="29" t="inlineStr"/>
      <c r="G21" s="26" t="inlineStr"/>
      <c r="H21" s="28">
        <f>IF(OR(F20="",G20=""),"",F20*G20)</f>
        <v/>
      </c>
    </row>
    <row r="22" ht="18" customHeight="1">
      <c r="A22" s="31" t="inlineStr"/>
      <c r="B22" s="25" t="inlineStr"/>
      <c r="C22" s="29" t="inlineStr"/>
      <c r="D22" s="29" t="inlineStr"/>
      <c r="E22" s="29" t="inlineStr"/>
      <c r="F22" s="29" t="inlineStr"/>
      <c r="G22" s="26" t="inlineStr"/>
      <c r="H22" s="28">
        <f>IF(OR(F21="",G21=""),"",F21*G21)</f>
        <v/>
      </c>
    </row>
    <row r="23" ht="18" customHeight="1">
      <c r="A23" s="31" t="inlineStr"/>
      <c r="B23" s="25" t="inlineStr"/>
      <c r="C23" s="29" t="inlineStr"/>
      <c r="D23" s="29" t="inlineStr"/>
      <c r="E23" s="29" t="inlineStr"/>
      <c r="F23" s="29" t="inlineStr"/>
      <c r="G23" s="26" t="inlineStr"/>
      <c r="H23" s="28">
        <f>IF(OR(F22="",G22=""),"",F22*G22)</f>
        <v/>
      </c>
    </row>
    <row r="24" ht="18" customHeight="1">
      <c r="A24" s="31" t="inlineStr"/>
      <c r="B24" s="25" t="inlineStr"/>
      <c r="C24" s="29" t="inlineStr"/>
      <c r="D24" s="29" t="inlineStr"/>
      <c r="E24" s="29" t="inlineStr"/>
      <c r="F24" s="29" t="inlineStr"/>
      <c r="G24" s="26" t="inlineStr"/>
      <c r="H24" s="28">
        <f>IF(OR(F23="",G23=""),"",F23*G23)</f>
        <v/>
      </c>
    </row>
    <row r="25" ht="18" customHeight="1">
      <c r="A25" s="31" t="inlineStr"/>
      <c r="B25" s="25" t="inlineStr"/>
      <c r="C25" s="29" t="inlineStr"/>
      <c r="D25" s="29" t="inlineStr"/>
      <c r="E25" s="29" t="inlineStr"/>
      <c r="F25" s="29" t="inlineStr"/>
      <c r="G25" s="26" t="inlineStr"/>
      <c r="H25" s="28">
        <f>IF(OR(F24="",G24=""),"",F24*G24)</f>
        <v/>
      </c>
    </row>
    <row r="26">
      <c r="A26" s="31" t="inlineStr"/>
      <c r="B26" s="25" t="inlineStr"/>
      <c r="C26" s="29" t="inlineStr"/>
      <c r="D26" s="29" t="inlineStr"/>
      <c r="E26" s="29" t="inlineStr"/>
      <c r="F26" s="29" t="inlineStr"/>
      <c r="G26" s="26" t="inlineStr"/>
      <c r="H26" s="28">
        <f>IF(OR(F25="",G25=""),"",F25*G25)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5">
    <mergeCell ref="B4:H4"/>
    <mergeCell ref="A2:H2"/>
    <mergeCell ref="A1:H1"/>
    <mergeCell ref="B3:H3"/>
    <mergeCell ref="A6:H6"/>
  </mergeCells>
  <conditionalFormatting sqref="H8:H25">
    <cfRule type="cellIs" priority="1" operator="greaterThan" dxfId="2">
      <formula>50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2" customHeight="1">
      <c r="A1" s="1" t="inlineStr">
        <is>
          <t>DEMO — PREVIEW ONLY · NOT FOR RESALE · ukážka — buy the full bundle to unlock editing</t>
        </is>
      </c>
    </row>
    <row r="2" ht="26" customHeight="1">
      <c r="A2" s="9" t="inlineStr">
        <is>
          <t>Staff Rota &amp; Labour-Cost Scheduler  |  Plánovač zmien a mzdových nákladov</t>
        </is>
      </c>
    </row>
    <row r="3">
      <c r="A3" s="10" t="inlineStr">
        <is>
          <t>Schedule shifts and instantly see labour cost as a % of forecast sales  ·  Naplánujte zmeny a hneď vidíte podiel mzdových nákladov na tržbách</t>
        </is>
      </c>
    </row>
    <row r="4">
      <c r="A4" s="11" t="inlineStr">
        <is>
          <t>Business name / Názov prevádzky:</t>
        </is>
      </c>
      <c r="B4" s="12" t="inlineStr"/>
    </row>
    <row r="5">
      <c r="A5" s="11" t="inlineStr">
        <is>
          <t>Week commencing (DD/MM/YYYY) / Týždeň od:</t>
        </is>
      </c>
      <c r="B5" s="12" t="inlineStr"/>
    </row>
    <row r="6" ht="30" customHeight="1">
      <c r="A6" s="11" t="inlineStr">
        <is>
          <t>Forecast sales € / Plán tržieb €:</t>
        </is>
      </c>
      <c r="B6" s="21" t="inlineStr"/>
    </row>
    <row r="7" ht="38" customHeight="1">
      <c r="A7" s="13" t="inlineStr">
        <is>
          <t>ℹ  Enter each shift's hours and hourly rate. Labour cost = hours × rate. Target labour % for hospitality is typically 25–35% of sales.
    Zadajte hodiny a hodinovú sadzbu. Mzdové náklady = hodiny × sadzba. Cieľ pre gastro býva 25–35 % tržieb.</t>
        </is>
      </c>
    </row>
    <row r="8" ht="16" customHeight="1">
      <c r="A8" s="14" t="inlineStr">
        <is>
          <t>Employee
Zamestnanec</t>
        </is>
      </c>
      <c r="B8" s="14" t="inlineStr">
        <is>
          <t>Role
Pozícia</t>
        </is>
      </c>
      <c r="C8" s="14" t="inlineStr">
        <is>
          <t>Day
Deň</t>
        </is>
      </c>
      <c r="D8" s="14" t="inlineStr">
        <is>
          <t>Start
Od</t>
        </is>
      </c>
      <c r="E8" s="14" t="inlineStr">
        <is>
          <t>End
Do</t>
        </is>
      </c>
      <c r="F8" s="14" t="inlineStr">
        <is>
          <t>Hours
Hodiny</t>
        </is>
      </c>
      <c r="G8" s="14" t="inlineStr">
        <is>
          <t>Rate €/h
Sadzba €/h</t>
        </is>
      </c>
      <c r="H8" s="14" t="inlineStr">
        <is>
          <t>Cost €
Náklad €</t>
        </is>
      </c>
    </row>
    <row r="9" ht="16" customHeight="1">
      <c r="A9" s="32" t="inlineStr"/>
      <c r="B9" s="32" t="inlineStr"/>
      <c r="C9" s="33" t="inlineStr"/>
      <c r="D9" s="33" t="inlineStr"/>
      <c r="E9" s="33" t="inlineStr"/>
      <c r="F9" s="34" t="inlineStr"/>
      <c r="G9" s="35" t="inlineStr"/>
      <c r="H9" s="36">
        <f>IF(OR(F8="",G8=""),"",F8*G8)</f>
        <v/>
      </c>
    </row>
    <row r="10" ht="16" customHeight="1">
      <c r="A10" s="37" t="inlineStr"/>
      <c r="B10" s="37" t="inlineStr"/>
      <c r="C10" s="38" t="inlineStr"/>
      <c r="D10" s="38" t="inlineStr"/>
      <c r="E10" s="38" t="inlineStr"/>
      <c r="F10" s="34" t="inlineStr"/>
      <c r="G10" s="35" t="inlineStr"/>
      <c r="H10" s="39">
        <f>IF(OR(F9="",G9=""),"",F9*G9)</f>
        <v/>
      </c>
    </row>
    <row r="11" ht="16" customHeight="1">
      <c r="A11" s="32" t="inlineStr"/>
      <c r="B11" s="32" t="inlineStr"/>
      <c r="C11" s="33" t="inlineStr"/>
      <c r="D11" s="33" t="inlineStr"/>
      <c r="E11" s="33" t="inlineStr"/>
      <c r="F11" s="34" t="inlineStr"/>
      <c r="G11" s="35" t="inlineStr"/>
      <c r="H11" s="36">
        <f>IF(OR(F10="",G10=""),"",F10*G10)</f>
        <v/>
      </c>
    </row>
    <row r="12" ht="16" customHeight="1">
      <c r="A12" s="37" t="inlineStr"/>
      <c r="B12" s="37" t="inlineStr"/>
      <c r="C12" s="38" t="inlineStr"/>
      <c r="D12" s="38" t="inlineStr"/>
      <c r="E12" s="38" t="inlineStr"/>
      <c r="F12" s="34" t="inlineStr"/>
      <c r="G12" s="35" t="inlineStr"/>
      <c r="H12" s="39">
        <f>IF(OR(F11="",G11=""),"",F11*G11)</f>
        <v/>
      </c>
    </row>
    <row r="13" ht="16" customHeight="1">
      <c r="A13" s="32" t="inlineStr"/>
      <c r="B13" s="32" t="inlineStr"/>
      <c r="C13" s="33" t="inlineStr"/>
      <c r="D13" s="33" t="inlineStr"/>
      <c r="E13" s="33" t="inlineStr"/>
      <c r="F13" s="34" t="inlineStr"/>
      <c r="G13" s="35" t="inlineStr"/>
      <c r="H13" s="36">
        <f>IF(OR(F12="",G12=""),"",F12*G12)</f>
        <v/>
      </c>
    </row>
    <row r="14" ht="16" customHeight="1">
      <c r="A14" s="37" t="inlineStr"/>
      <c r="B14" s="37" t="inlineStr"/>
      <c r="C14" s="38" t="inlineStr"/>
      <c r="D14" s="38" t="inlineStr"/>
      <c r="E14" s="38" t="inlineStr"/>
      <c r="F14" s="34" t="inlineStr"/>
      <c r="G14" s="35" t="inlineStr"/>
      <c r="H14" s="39">
        <f>IF(OR(F13="",G13=""),"",F13*G13)</f>
        <v/>
      </c>
    </row>
    <row r="15" ht="16" customHeight="1">
      <c r="A15" s="32" t="inlineStr"/>
      <c r="B15" s="32" t="inlineStr"/>
      <c r="C15" s="33" t="inlineStr"/>
      <c r="D15" s="33" t="inlineStr"/>
      <c r="E15" s="33" t="inlineStr"/>
      <c r="F15" s="34" t="inlineStr"/>
      <c r="G15" s="35" t="inlineStr"/>
      <c r="H15" s="36">
        <f>IF(OR(F14="",G14=""),"",F14*G14)</f>
        <v/>
      </c>
    </row>
    <row r="16" ht="16" customHeight="1">
      <c r="A16" s="37" t="inlineStr"/>
      <c r="B16" s="37" t="inlineStr"/>
      <c r="C16" s="38" t="inlineStr"/>
      <c r="D16" s="38" t="inlineStr"/>
      <c r="E16" s="38" t="inlineStr"/>
      <c r="F16" s="34" t="inlineStr"/>
      <c r="G16" s="35" t="inlineStr"/>
      <c r="H16" s="39">
        <f>IF(OR(F15="",G15=""),"",F15*G15)</f>
        <v/>
      </c>
    </row>
    <row r="17" ht="16" customHeight="1">
      <c r="A17" s="32" t="inlineStr"/>
      <c r="B17" s="32" t="inlineStr"/>
      <c r="C17" s="33" t="inlineStr"/>
      <c r="D17" s="33" t="inlineStr"/>
      <c r="E17" s="33" t="inlineStr"/>
      <c r="F17" s="34" t="inlineStr"/>
      <c r="G17" s="35" t="inlineStr"/>
      <c r="H17" s="36">
        <f>IF(OR(F16="",G16=""),"",F16*G16)</f>
        <v/>
      </c>
    </row>
    <row r="18" ht="16" customHeight="1">
      <c r="A18" s="37" t="inlineStr"/>
      <c r="B18" s="37" t="inlineStr"/>
      <c r="C18" s="38" t="inlineStr"/>
      <c r="D18" s="38" t="inlineStr"/>
      <c r="E18" s="38" t="inlineStr"/>
      <c r="F18" s="34" t="inlineStr"/>
      <c r="G18" s="35" t="inlineStr"/>
      <c r="H18" s="39">
        <f>IF(OR(F17="",G17=""),"",F17*G17)</f>
        <v/>
      </c>
    </row>
    <row r="19" ht="16" customHeight="1">
      <c r="A19" s="32" t="inlineStr"/>
      <c r="B19" s="32" t="inlineStr"/>
      <c r="C19" s="33" t="inlineStr"/>
      <c r="D19" s="33" t="inlineStr"/>
      <c r="E19" s="33" t="inlineStr"/>
      <c r="F19" s="34" t="inlineStr"/>
      <c r="G19" s="35" t="inlineStr"/>
      <c r="H19" s="36">
        <f>IF(OR(F18="",G18=""),"",F18*G18)</f>
        <v/>
      </c>
    </row>
    <row r="20" ht="16" customHeight="1">
      <c r="A20" s="37" t="inlineStr"/>
      <c r="B20" s="37" t="inlineStr"/>
      <c r="C20" s="38" t="inlineStr"/>
      <c r="D20" s="38" t="inlineStr"/>
      <c r="E20" s="38" t="inlineStr"/>
      <c r="F20" s="34" t="inlineStr"/>
      <c r="G20" s="35" t="inlineStr"/>
      <c r="H20" s="39">
        <f>IF(OR(F19="",G19=""),"",F19*G19)</f>
        <v/>
      </c>
    </row>
    <row r="21" ht="16" customHeight="1">
      <c r="A21" s="32" t="inlineStr"/>
      <c r="B21" s="32" t="inlineStr"/>
      <c r="C21" s="33" t="inlineStr"/>
      <c r="D21" s="33" t="inlineStr"/>
      <c r="E21" s="33" t="inlineStr"/>
      <c r="F21" s="34" t="inlineStr"/>
      <c r="G21" s="35" t="inlineStr"/>
      <c r="H21" s="36">
        <f>IF(OR(F20="",G20=""),"",F20*G20)</f>
        <v/>
      </c>
    </row>
    <row r="22" ht="16" customHeight="1">
      <c r="A22" s="37" t="inlineStr"/>
      <c r="B22" s="37" t="inlineStr"/>
      <c r="C22" s="38" t="inlineStr"/>
      <c r="D22" s="38" t="inlineStr"/>
      <c r="E22" s="38" t="inlineStr"/>
      <c r="F22" s="34" t="inlineStr"/>
      <c r="G22" s="35" t="inlineStr"/>
      <c r="H22" s="39">
        <f>IF(OR(F21="",G21=""),"",F21*G21)</f>
        <v/>
      </c>
    </row>
    <row r="23" ht="16" customHeight="1">
      <c r="A23" s="32" t="inlineStr"/>
      <c r="B23" s="32" t="inlineStr"/>
      <c r="C23" s="33" t="inlineStr"/>
      <c r="D23" s="33" t="inlineStr"/>
      <c r="E23" s="33" t="inlineStr"/>
      <c r="F23" s="34" t="inlineStr"/>
      <c r="G23" s="35" t="inlineStr"/>
      <c r="H23" s="36">
        <f>IF(OR(F22="",G22=""),"",F22*G22)</f>
        <v/>
      </c>
    </row>
    <row r="24" ht="16" customHeight="1">
      <c r="A24" s="37" t="inlineStr"/>
      <c r="B24" s="37" t="inlineStr"/>
      <c r="C24" s="38" t="inlineStr"/>
      <c r="D24" s="38" t="inlineStr"/>
      <c r="E24" s="38" t="inlineStr"/>
      <c r="F24" s="34" t="inlineStr"/>
      <c r="G24" s="35" t="inlineStr"/>
      <c r="H24" s="39">
        <f>IF(OR(F23="",G23=""),"",F23*G23)</f>
        <v/>
      </c>
    </row>
    <row r="25" ht="16" customHeight="1">
      <c r="A25" s="32" t="inlineStr"/>
      <c r="B25" s="32" t="inlineStr"/>
      <c r="C25" s="33" t="inlineStr"/>
      <c r="D25" s="33" t="inlineStr"/>
      <c r="E25" s="33" t="inlineStr"/>
      <c r="F25" s="34" t="inlineStr"/>
      <c r="G25" s="35" t="inlineStr"/>
      <c r="H25" s="36">
        <f>IF(OR(F24="",G24=""),"",F24*G24)</f>
        <v/>
      </c>
    </row>
    <row r="26" ht="16" customHeight="1">
      <c r="A26" s="37" t="inlineStr"/>
      <c r="B26" s="37" t="inlineStr"/>
      <c r="C26" s="38" t="inlineStr"/>
      <c r="D26" s="38" t="inlineStr"/>
      <c r="E26" s="38" t="inlineStr"/>
      <c r="F26" s="34" t="inlineStr"/>
      <c r="G26" s="35" t="inlineStr"/>
      <c r="H26" s="39">
        <f>IF(OR(F25="",G25=""),"",F25*G25)</f>
        <v/>
      </c>
    </row>
    <row r="27" ht="16" customHeight="1">
      <c r="A27" s="32" t="inlineStr"/>
      <c r="B27" s="32" t="inlineStr"/>
      <c r="C27" s="33" t="inlineStr"/>
      <c r="D27" s="33" t="inlineStr"/>
      <c r="E27" s="33" t="inlineStr"/>
      <c r="F27" s="34" t="inlineStr"/>
      <c r="G27" s="35" t="inlineStr"/>
      <c r="H27" s="36">
        <f>IF(OR(F26="",G26=""),"",F26*G26)</f>
        <v/>
      </c>
    </row>
    <row r="28">
      <c r="A28" s="37" t="inlineStr"/>
      <c r="B28" s="37" t="inlineStr"/>
      <c r="C28" s="38" t="inlineStr"/>
      <c r="D28" s="38" t="inlineStr"/>
      <c r="E28" s="38" t="inlineStr"/>
      <c r="F28" s="34" t="inlineStr"/>
      <c r="G28" s="35" t="inlineStr"/>
      <c r="H28" s="39">
        <f>IF(OR(F27="",G27=""),"",F27*G27)</f>
        <v/>
      </c>
    </row>
    <row r="29">
      <c r="A29" s="40" t="inlineStr">
        <is>
          <t>TOTAL / SPOLU</t>
        </is>
      </c>
      <c r="F29" s="41">
        <f>SUM(F8:F27)</f>
        <v/>
      </c>
      <c r="H29" s="42">
        <f>SUM(H8:H27)</f>
        <v/>
      </c>
    </row>
    <row r="30">
      <c r="A30" s="40" t="inlineStr">
        <is>
          <t>LABOUR % OF SALES / PODIEL MIEZD %</t>
        </is>
      </c>
      <c r="H30" s="43">
        <f>IF(B5="","",H28/B5)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5">
    <mergeCell ref="B4:H4"/>
    <mergeCell ref="A2:H2"/>
    <mergeCell ref="A1:H1"/>
    <mergeCell ref="B3:H3"/>
    <mergeCell ref="A6:H6"/>
  </mergeCells>
  <conditionalFormatting sqref="H29">
    <cfRule type="cellIs" priority="1" operator="greaterThan" dxfId="3">
      <formula>0.35</formula>
    </cfRule>
    <cfRule type="cellIs" priority="2" operator="lessThanOrEqual" dxfId="1">
      <formula>0.35</formula>
    </cfRule>
  </conditionalFormatting>
  <dataValidations count="1">
    <dataValidation sqref="C8 C9 C10 C11 C12 C13 C14 C15 C16 C17 C18 C19 C20 C21 C22 C23 C24 C25 C26 C27" showDropDown="0" showInputMessage="0" showErrorMessage="0" allowBlank="1" type="list">
      <formula1>"Mon,Tue,Wed,Thu,Fri,Sat,Sun"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H3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1" ht="22" customHeight="1">
      <c r="A1" s="1" t="inlineStr">
        <is>
          <t>DEMO — PREVIEW ONLY · NOT FOR RESALE · ukážka — buy the full bundle to unlock editing</t>
        </is>
      </c>
    </row>
    <row r="2" ht="26" customHeight="1">
      <c r="A2" s="9" t="inlineStr">
        <is>
          <t>Daily Takings &amp; Till Reconciliation  |  Hárok denných tržieb a uzávierky pokladne</t>
        </is>
      </c>
    </row>
    <row r="3">
      <c r="A3" s="10" t="inlineStr">
        <is>
          <t>Compares the till Z-read against counted cash + card and flags any variance  ·  Porovná uzávierku pokladne (Z) s hotovosťou a kartami a upozorní na rozdiel</t>
        </is>
      </c>
    </row>
    <row r="4">
      <c r="A4" s="11" t="inlineStr">
        <is>
          <t>Business name / Názov prevádzky:</t>
        </is>
      </c>
      <c r="B4" s="12" t="inlineStr"/>
    </row>
    <row r="5">
      <c r="A5" s="11" t="inlineStr">
        <is>
          <t>Month (MM/YYYY) / Mesiac:</t>
        </is>
      </c>
      <c r="B5" s="12" t="inlineStr"/>
    </row>
    <row r="6" ht="30" customHeight="1"/>
    <row r="7" ht="38" customHeight="1">
      <c r="A7" s="13" t="inlineStr">
        <is>
          <t>ℹ  Variance = (cash + card) − Z-read. Anything not near zero is highlighted — investigate before it becomes a habit.
    Rozdiel = (hotovosť + karty) − uzávierka. Hodnoty mimo nuly sa zvýraznia — preverte ich.</t>
        </is>
      </c>
    </row>
    <row r="8" ht="16" customHeight="1">
      <c r="A8" s="14" t="inlineStr">
        <is>
          <t>Date
Dátum</t>
        </is>
      </c>
      <c r="B8" s="14" t="inlineStr">
        <is>
          <t>Z-read €
Uzávierka €</t>
        </is>
      </c>
      <c r="C8" s="14" t="inlineStr">
        <is>
          <t>Cash €
Hotovosť €</t>
        </is>
      </c>
      <c r="D8" s="14" t="inlineStr">
        <is>
          <t>Card €
Karty €</t>
        </is>
      </c>
      <c r="E8" s="14" t="inlineStr">
        <is>
          <t>Banked €
Vklad €</t>
        </is>
      </c>
      <c r="F8" s="14" t="inlineStr">
        <is>
          <t>Counted total €
Spolu spočítané €</t>
        </is>
      </c>
      <c r="G8" s="14" t="inlineStr">
        <is>
          <t>Variance €
Rozdiel €</t>
        </is>
      </c>
      <c r="H8" s="14" t="inlineStr">
        <is>
          <t>Checked by
Kontroloval</t>
        </is>
      </c>
    </row>
    <row r="9" ht="16" customHeight="1">
      <c r="A9" s="44" t="inlineStr"/>
      <c r="B9" s="35" t="inlineStr"/>
      <c r="C9" s="35" t="inlineStr"/>
      <c r="D9" s="35" t="inlineStr"/>
      <c r="E9" s="35" t="inlineStr"/>
      <c r="F9" s="45">
        <f>IF(AND(C8="",D8=""),"",C8+D8)</f>
        <v/>
      </c>
      <c r="G9" s="45">
        <f>IF(OR(B8="",F8=""),"",F8-B8)</f>
        <v/>
      </c>
      <c r="H9" s="32" t="inlineStr"/>
    </row>
    <row r="10" ht="16" customHeight="1">
      <c r="A10" s="46" t="inlineStr"/>
      <c r="B10" s="35" t="inlineStr"/>
      <c r="C10" s="35" t="inlineStr"/>
      <c r="D10" s="35" t="inlineStr"/>
      <c r="E10" s="35" t="inlineStr"/>
      <c r="F10" s="45">
        <f>IF(AND(C9="",D9=""),"",C9+D9)</f>
        <v/>
      </c>
      <c r="G10" s="45">
        <f>IF(OR(B9="",F9=""),"",F9-B9)</f>
        <v/>
      </c>
      <c r="H10" s="37" t="inlineStr"/>
    </row>
    <row r="11" ht="16" customHeight="1">
      <c r="A11" s="44" t="inlineStr"/>
      <c r="B11" s="35" t="inlineStr"/>
      <c r="C11" s="35" t="inlineStr"/>
      <c r="D11" s="35" t="inlineStr"/>
      <c r="E11" s="35" t="inlineStr"/>
      <c r="F11" s="45">
        <f>IF(AND(C10="",D10=""),"",C10+D10)</f>
        <v/>
      </c>
      <c r="G11" s="45">
        <f>IF(OR(B10="",F10=""),"",F10-B10)</f>
        <v/>
      </c>
      <c r="H11" s="32" t="inlineStr"/>
    </row>
    <row r="12" ht="16" customHeight="1">
      <c r="A12" s="46" t="inlineStr"/>
      <c r="B12" s="35" t="inlineStr"/>
      <c r="C12" s="35" t="inlineStr"/>
      <c r="D12" s="35" t="inlineStr"/>
      <c r="E12" s="35" t="inlineStr"/>
      <c r="F12" s="45">
        <f>IF(AND(C11="",D11=""),"",C11+D11)</f>
        <v/>
      </c>
      <c r="G12" s="45">
        <f>IF(OR(B11="",F11=""),"",F11-B11)</f>
        <v/>
      </c>
      <c r="H12" s="37" t="inlineStr"/>
    </row>
    <row r="13" ht="16" customHeight="1">
      <c r="A13" s="44" t="inlineStr"/>
      <c r="B13" s="35" t="inlineStr"/>
      <c r="C13" s="35" t="inlineStr"/>
      <c r="D13" s="35" t="inlineStr"/>
      <c r="E13" s="35" t="inlineStr"/>
      <c r="F13" s="45">
        <f>IF(AND(C12="",D12=""),"",C12+D12)</f>
        <v/>
      </c>
      <c r="G13" s="45">
        <f>IF(OR(B12="",F12=""),"",F12-B12)</f>
        <v/>
      </c>
      <c r="H13" s="32" t="inlineStr"/>
    </row>
    <row r="14" ht="16" customHeight="1">
      <c r="A14" s="46" t="inlineStr"/>
      <c r="B14" s="35" t="inlineStr"/>
      <c r="C14" s="35" t="inlineStr"/>
      <c r="D14" s="35" t="inlineStr"/>
      <c r="E14" s="35" t="inlineStr"/>
      <c r="F14" s="45">
        <f>IF(AND(C13="",D13=""),"",C13+D13)</f>
        <v/>
      </c>
      <c r="G14" s="45">
        <f>IF(OR(B13="",F13=""),"",F13-B13)</f>
        <v/>
      </c>
      <c r="H14" s="37" t="inlineStr"/>
    </row>
    <row r="15" ht="16" customHeight="1">
      <c r="A15" s="44" t="inlineStr"/>
      <c r="B15" s="35" t="inlineStr"/>
      <c r="C15" s="35" t="inlineStr"/>
      <c r="D15" s="35" t="inlineStr"/>
      <c r="E15" s="35" t="inlineStr"/>
      <c r="F15" s="45">
        <f>IF(AND(C14="",D14=""),"",C14+D14)</f>
        <v/>
      </c>
      <c r="G15" s="45">
        <f>IF(OR(B14="",F14=""),"",F14-B14)</f>
        <v/>
      </c>
      <c r="H15" s="32" t="inlineStr"/>
    </row>
    <row r="16" ht="16" customHeight="1">
      <c r="A16" s="46" t="inlineStr"/>
      <c r="B16" s="35" t="inlineStr"/>
      <c r="C16" s="35" t="inlineStr"/>
      <c r="D16" s="35" t="inlineStr"/>
      <c r="E16" s="35" t="inlineStr"/>
      <c r="F16" s="45">
        <f>IF(AND(C15="",D15=""),"",C15+D15)</f>
        <v/>
      </c>
      <c r="G16" s="45">
        <f>IF(OR(B15="",F15=""),"",F15-B15)</f>
        <v/>
      </c>
      <c r="H16" s="37" t="inlineStr"/>
    </row>
    <row r="17" ht="16" customHeight="1">
      <c r="A17" s="44" t="inlineStr"/>
      <c r="B17" s="35" t="inlineStr"/>
      <c r="C17" s="35" t="inlineStr"/>
      <c r="D17" s="35" t="inlineStr"/>
      <c r="E17" s="35" t="inlineStr"/>
      <c r="F17" s="45">
        <f>IF(AND(C16="",D16=""),"",C16+D16)</f>
        <v/>
      </c>
      <c r="G17" s="45">
        <f>IF(OR(B16="",F16=""),"",F16-B16)</f>
        <v/>
      </c>
      <c r="H17" s="32" t="inlineStr"/>
    </row>
    <row r="18" ht="16" customHeight="1">
      <c r="A18" s="46" t="inlineStr"/>
      <c r="B18" s="35" t="inlineStr"/>
      <c r="C18" s="35" t="inlineStr"/>
      <c r="D18" s="35" t="inlineStr"/>
      <c r="E18" s="35" t="inlineStr"/>
      <c r="F18" s="45">
        <f>IF(AND(C17="",D17=""),"",C17+D17)</f>
        <v/>
      </c>
      <c r="G18" s="45">
        <f>IF(OR(B17="",F17=""),"",F17-B17)</f>
        <v/>
      </c>
      <c r="H18" s="37" t="inlineStr"/>
    </row>
    <row r="19" ht="16" customHeight="1">
      <c r="A19" s="44" t="inlineStr"/>
      <c r="B19" s="35" t="inlineStr"/>
      <c r="C19" s="35" t="inlineStr"/>
      <c r="D19" s="35" t="inlineStr"/>
      <c r="E19" s="35" t="inlineStr"/>
      <c r="F19" s="45">
        <f>IF(AND(C18="",D18=""),"",C18+D18)</f>
        <v/>
      </c>
      <c r="G19" s="45">
        <f>IF(OR(B18="",F18=""),"",F18-B18)</f>
        <v/>
      </c>
      <c r="H19" s="32" t="inlineStr"/>
    </row>
    <row r="20" ht="16" customHeight="1">
      <c r="A20" s="46" t="inlineStr"/>
      <c r="B20" s="35" t="inlineStr"/>
      <c r="C20" s="35" t="inlineStr"/>
      <c r="D20" s="35" t="inlineStr"/>
      <c r="E20" s="35" t="inlineStr"/>
      <c r="F20" s="45">
        <f>IF(AND(C19="",D19=""),"",C19+D19)</f>
        <v/>
      </c>
      <c r="G20" s="45">
        <f>IF(OR(B19="",F19=""),"",F19-B19)</f>
        <v/>
      </c>
      <c r="H20" s="37" t="inlineStr"/>
    </row>
    <row r="21" ht="16" customHeight="1">
      <c r="A21" s="44" t="inlineStr"/>
      <c r="B21" s="35" t="inlineStr"/>
      <c r="C21" s="35" t="inlineStr"/>
      <c r="D21" s="35" t="inlineStr"/>
      <c r="E21" s="35" t="inlineStr"/>
      <c r="F21" s="45">
        <f>IF(AND(C20="",D20=""),"",C20+D20)</f>
        <v/>
      </c>
      <c r="G21" s="45">
        <f>IF(OR(B20="",F20=""),"",F20-B20)</f>
        <v/>
      </c>
      <c r="H21" s="32" t="inlineStr"/>
    </row>
    <row r="22" ht="16" customHeight="1">
      <c r="A22" s="46" t="inlineStr"/>
      <c r="B22" s="35" t="inlineStr"/>
      <c r="C22" s="35" t="inlineStr"/>
      <c r="D22" s="35" t="inlineStr"/>
      <c r="E22" s="35" t="inlineStr"/>
      <c r="F22" s="45">
        <f>IF(AND(C21="",D21=""),"",C21+D21)</f>
        <v/>
      </c>
      <c r="G22" s="45">
        <f>IF(OR(B21="",F21=""),"",F21-B21)</f>
        <v/>
      </c>
      <c r="H22" s="37" t="inlineStr"/>
    </row>
    <row r="23" ht="16" customHeight="1">
      <c r="A23" s="44" t="inlineStr"/>
      <c r="B23" s="35" t="inlineStr"/>
      <c r="C23" s="35" t="inlineStr"/>
      <c r="D23" s="35" t="inlineStr"/>
      <c r="E23" s="35" t="inlineStr"/>
      <c r="F23" s="45">
        <f>IF(AND(C22="",D22=""),"",C22+D22)</f>
        <v/>
      </c>
      <c r="G23" s="45">
        <f>IF(OR(B22="",F22=""),"",F22-B22)</f>
        <v/>
      </c>
      <c r="H23" s="32" t="inlineStr"/>
    </row>
    <row r="24" ht="16" customHeight="1">
      <c r="A24" s="46" t="inlineStr"/>
      <c r="B24" s="35" t="inlineStr"/>
      <c r="C24" s="35" t="inlineStr"/>
      <c r="D24" s="35" t="inlineStr"/>
      <c r="E24" s="35" t="inlineStr"/>
      <c r="F24" s="45">
        <f>IF(AND(C23="",D23=""),"",C23+D23)</f>
        <v/>
      </c>
      <c r="G24" s="45">
        <f>IF(OR(B23="",F23=""),"",F23-B23)</f>
        <v/>
      </c>
      <c r="H24" s="37" t="inlineStr"/>
    </row>
    <row r="25" ht="16" customHeight="1">
      <c r="A25" s="44" t="inlineStr"/>
      <c r="B25" s="35" t="inlineStr"/>
      <c r="C25" s="35" t="inlineStr"/>
      <c r="D25" s="35" t="inlineStr"/>
      <c r="E25" s="35" t="inlineStr"/>
      <c r="F25" s="45">
        <f>IF(AND(C24="",D24=""),"",C24+D24)</f>
        <v/>
      </c>
      <c r="G25" s="45">
        <f>IF(OR(B24="",F24=""),"",F24-B24)</f>
        <v/>
      </c>
      <c r="H25" s="32" t="inlineStr"/>
    </row>
    <row r="26" ht="16" customHeight="1">
      <c r="A26" s="46" t="inlineStr"/>
      <c r="B26" s="35" t="inlineStr"/>
      <c r="C26" s="35" t="inlineStr"/>
      <c r="D26" s="35" t="inlineStr"/>
      <c r="E26" s="35" t="inlineStr"/>
      <c r="F26" s="45">
        <f>IF(AND(C25="",D25=""),"",C25+D25)</f>
        <v/>
      </c>
      <c r="G26" s="45">
        <f>IF(OR(B25="",F25=""),"",F25-B25)</f>
        <v/>
      </c>
      <c r="H26" s="37" t="inlineStr"/>
    </row>
    <row r="27" ht="16" customHeight="1">
      <c r="A27" s="44" t="inlineStr"/>
      <c r="B27" s="35" t="inlineStr"/>
      <c r="C27" s="35" t="inlineStr"/>
      <c r="D27" s="35" t="inlineStr"/>
      <c r="E27" s="35" t="inlineStr"/>
      <c r="F27" s="45">
        <f>IF(AND(C26="",D26=""),"",C26+D26)</f>
        <v/>
      </c>
      <c r="G27" s="45">
        <f>IF(OR(B26="",F26=""),"",F26-B26)</f>
        <v/>
      </c>
      <c r="H27" s="32" t="inlineStr"/>
    </row>
    <row r="28" ht="16" customHeight="1">
      <c r="A28" s="46" t="inlineStr"/>
      <c r="B28" s="35" t="inlineStr"/>
      <c r="C28" s="35" t="inlineStr"/>
      <c r="D28" s="35" t="inlineStr"/>
      <c r="E28" s="35" t="inlineStr"/>
      <c r="F28" s="45">
        <f>IF(AND(C27="",D27=""),"",C27+D27)</f>
        <v/>
      </c>
      <c r="G28" s="45">
        <f>IF(OR(B27="",F27=""),"",F27-B27)</f>
        <v/>
      </c>
      <c r="H28" s="37" t="inlineStr"/>
    </row>
    <row r="29" ht="16" customHeight="1">
      <c r="A29" s="44" t="inlineStr"/>
      <c r="B29" s="35" t="inlineStr"/>
      <c r="C29" s="35" t="inlineStr"/>
      <c r="D29" s="35" t="inlineStr"/>
      <c r="E29" s="35" t="inlineStr"/>
      <c r="F29" s="45">
        <f>IF(AND(C28="",D28=""),"",C28+D28)</f>
        <v/>
      </c>
      <c r="G29" s="45">
        <f>IF(OR(B28="",F28=""),"",F28-B28)</f>
        <v/>
      </c>
      <c r="H29" s="32" t="inlineStr"/>
    </row>
    <row r="30" ht="16" customHeight="1">
      <c r="A30" s="46" t="inlineStr"/>
      <c r="B30" s="35" t="inlineStr"/>
      <c r="C30" s="35" t="inlineStr"/>
      <c r="D30" s="35" t="inlineStr"/>
      <c r="E30" s="35" t="inlineStr"/>
      <c r="F30" s="45">
        <f>IF(AND(C29="",D29=""),"",C29+D29)</f>
        <v/>
      </c>
      <c r="G30" s="45">
        <f>IF(OR(B29="",F29=""),"",F29-B29)</f>
        <v/>
      </c>
      <c r="H30" s="37" t="inlineStr"/>
    </row>
    <row r="31" ht="16" customHeight="1">
      <c r="A31" s="44" t="inlineStr"/>
      <c r="B31" s="35" t="inlineStr"/>
      <c r="C31" s="35" t="inlineStr"/>
      <c r="D31" s="35" t="inlineStr"/>
      <c r="E31" s="35" t="inlineStr"/>
      <c r="F31" s="45">
        <f>IF(AND(C30="",D30=""),"",C30+D30)</f>
        <v/>
      </c>
      <c r="G31" s="45">
        <f>IF(OR(B30="",F30=""),"",F30-B30)</f>
        <v/>
      </c>
      <c r="H31" s="32" t="inlineStr"/>
    </row>
    <row r="32" ht="16" customHeight="1">
      <c r="A32" s="46" t="inlineStr"/>
      <c r="B32" s="35" t="inlineStr"/>
      <c r="C32" s="35" t="inlineStr"/>
      <c r="D32" s="35" t="inlineStr"/>
      <c r="E32" s="35" t="inlineStr"/>
      <c r="F32" s="45">
        <f>IF(AND(C31="",D31=""),"",C31+D31)</f>
        <v/>
      </c>
      <c r="G32" s="45">
        <f>IF(OR(B31="",F31=""),"",F31-B31)</f>
        <v/>
      </c>
      <c r="H32" s="37" t="inlineStr"/>
    </row>
    <row r="33" ht="16" customHeight="1">
      <c r="A33" s="44" t="inlineStr"/>
      <c r="B33" s="35" t="inlineStr"/>
      <c r="C33" s="35" t="inlineStr"/>
      <c r="D33" s="35" t="inlineStr"/>
      <c r="E33" s="35" t="inlineStr"/>
      <c r="F33" s="45">
        <f>IF(AND(C32="",D32=""),"",C32+D32)</f>
        <v/>
      </c>
      <c r="G33" s="45">
        <f>IF(OR(B32="",F32=""),"",F32-B32)</f>
        <v/>
      </c>
      <c r="H33" s="32" t="inlineStr"/>
    </row>
    <row r="34" ht="16" customHeight="1">
      <c r="A34" s="46" t="inlineStr"/>
      <c r="B34" s="35" t="inlineStr"/>
      <c r="C34" s="35" t="inlineStr"/>
      <c r="D34" s="35" t="inlineStr"/>
      <c r="E34" s="35" t="inlineStr"/>
      <c r="F34" s="45">
        <f>IF(AND(C33="",D33=""),"",C33+D33)</f>
        <v/>
      </c>
      <c r="G34" s="45">
        <f>IF(OR(B33="",F33=""),"",F33-B33)</f>
        <v/>
      </c>
      <c r="H34" s="37" t="inlineStr"/>
    </row>
    <row r="35" ht="16" customHeight="1">
      <c r="A35" s="44" t="inlineStr"/>
      <c r="B35" s="35" t="inlineStr"/>
      <c r="C35" s="35" t="inlineStr"/>
      <c r="D35" s="35" t="inlineStr"/>
      <c r="E35" s="35" t="inlineStr"/>
      <c r="F35" s="45">
        <f>IF(AND(C34="",D34=""),"",C34+D34)</f>
        <v/>
      </c>
      <c r="G35" s="45">
        <f>IF(OR(B34="",F34=""),"",F34-B34)</f>
        <v/>
      </c>
      <c r="H35" s="32" t="inlineStr"/>
    </row>
    <row r="36" ht="16" customHeight="1">
      <c r="A36" s="46" t="inlineStr"/>
      <c r="B36" s="35" t="inlineStr"/>
      <c r="C36" s="35" t="inlineStr"/>
      <c r="D36" s="35" t="inlineStr"/>
      <c r="E36" s="35" t="inlineStr"/>
      <c r="F36" s="45">
        <f>IF(AND(C35="",D35=""),"",C35+D35)</f>
        <v/>
      </c>
      <c r="G36" s="45">
        <f>IF(OR(B35="",F35=""),"",F35-B35)</f>
        <v/>
      </c>
      <c r="H36" s="37" t="inlineStr"/>
    </row>
    <row r="37" ht="16" customHeight="1">
      <c r="A37" s="44" t="inlineStr"/>
      <c r="B37" s="35" t="inlineStr"/>
      <c r="C37" s="35" t="inlineStr"/>
      <c r="D37" s="35" t="inlineStr"/>
      <c r="E37" s="35" t="inlineStr"/>
      <c r="F37" s="45">
        <f>IF(AND(C36="",D36=""),"",C36+D36)</f>
        <v/>
      </c>
      <c r="G37" s="45">
        <f>IF(OR(B36="",F36=""),"",F36-B36)</f>
        <v/>
      </c>
      <c r="H37" s="32" t="inlineStr"/>
    </row>
    <row r="38" ht="16" customHeight="1">
      <c r="A38" s="46" t="inlineStr"/>
      <c r="B38" s="35" t="inlineStr"/>
      <c r="C38" s="35" t="inlineStr"/>
      <c r="D38" s="35" t="inlineStr"/>
      <c r="E38" s="35" t="inlineStr"/>
      <c r="F38" s="45">
        <f>IF(AND(C37="",D37=""),"",C37+D37)</f>
        <v/>
      </c>
      <c r="G38" s="45">
        <f>IF(OR(B37="",F37=""),"",F37-B37)</f>
        <v/>
      </c>
      <c r="H38" s="37" t="inlineStr"/>
    </row>
    <row r="39">
      <c r="A39" s="44" t="inlineStr"/>
      <c r="B39" s="35" t="inlineStr"/>
      <c r="C39" s="35" t="inlineStr"/>
      <c r="D39" s="35" t="inlineStr"/>
      <c r="E39" s="35" t="inlineStr"/>
      <c r="F39" s="45">
        <f>IF(AND(C38="",D38=""),"",C38+D38)</f>
        <v/>
      </c>
      <c r="G39" s="45">
        <f>IF(OR(B38="",F38=""),"",F38-B38)</f>
        <v/>
      </c>
      <c r="H39" s="3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5">
    <mergeCell ref="B4:H4"/>
    <mergeCell ref="A2:H2"/>
    <mergeCell ref="A1:H1"/>
    <mergeCell ref="B3:H3"/>
    <mergeCell ref="A6:H6"/>
  </mergeCells>
  <conditionalFormatting sqref="G8:G38">
    <cfRule type="cellIs" priority="1" operator="greaterThan" dxfId="2">
      <formula>1</formula>
    </cfRule>
    <cfRule type="cellIs" priority="2" operator="lessThan" dxfId="2">
      <formula>-1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/>
  </sheetPr>
  <dimension ref="A1:I2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 ht="22" customHeight="1">
      <c r="A1" s="1" t="inlineStr">
        <is>
          <t>DEMO — PREVIEW ONLY · NOT FOR RESALE · ukážka — buy the full bundle to unlock editing</t>
        </is>
      </c>
    </row>
    <row r="2" ht="26" customHeight="1">
      <c r="A2" s="9" t="inlineStr">
        <is>
          <t>Staff Training &amp; Induction Matrix  |  Matica školení a zaškolenia zamestnancov</t>
        </is>
      </c>
    </row>
    <row r="3">
      <c r="A3" s="10" t="inlineStr">
        <is>
          <t>Dated proof each worker was trained BEFORE the floor — incl. manual handling &amp; induction  ·  Dôkaz, že pracovník bol školený PRED zmenou — vrátane manipulácie a zaškolenia</t>
        </is>
      </c>
    </row>
    <row r="4">
      <c r="A4" s="11" t="inlineStr">
        <is>
          <t>Business name / Názov prevádzky:</t>
        </is>
      </c>
      <c r="B4" s="12" t="inlineStr"/>
    </row>
    <row r="5" ht="30" customHeight="1"/>
    <row r="6" ht="38" customHeight="1">
      <c r="A6" s="13" t="inlineStr">
        <is>
          <t>ℹ  Enter the date each topic was completed (DD/MM/YYYY). Blank cells flag a gap before that person can work that area. Set a refresher cadence in the last column.
    Zadajte dátum absolvovania (DD/MM/YYYY). Prázdna bunka = chýbajúce školenie pred prácou. Termín preškolenia v poslednom stĺpci.</t>
        </is>
      </c>
    </row>
    <row r="7" ht="18" customHeight="1">
      <c r="A7" s="47" t="inlineStr">
        <is>
          <t>Employee
Zamestnanec</t>
        </is>
      </c>
      <c r="B7" s="47" t="inlineStr">
        <is>
          <t>Start date
Nástup</t>
        </is>
      </c>
      <c r="C7" s="47" t="inlineStr">
        <is>
          <t>Induction
Zaškolenie</t>
        </is>
      </c>
      <c r="D7" s="47" t="inlineStr">
        <is>
          <t>Manual handling
Manipulácia s bremenami</t>
        </is>
      </c>
      <c r="E7" s="47" t="inlineStr">
        <is>
          <t>Food hygiene
Hygiena potravín</t>
        </is>
      </c>
      <c r="F7" s="47" t="inlineStr">
        <is>
          <t>Allergen awareness
Alergény</t>
        </is>
      </c>
      <c r="G7" s="47" t="inlineStr">
        <is>
          <t>Fire safety
Požiarna ochrana</t>
        </is>
      </c>
      <c r="H7" s="47" t="inlineStr">
        <is>
          <t>H&amp;S / first aid
BOZP / prvá pomoc</t>
        </is>
      </c>
      <c r="I7" s="47" t="inlineStr">
        <is>
          <t>Refresher due
Preškolenie</t>
        </is>
      </c>
    </row>
    <row r="8" ht="18" customHeight="1">
      <c r="A8" s="48" t="inlineStr"/>
      <c r="B8" s="44" t="inlineStr"/>
      <c r="C8" s="44" t="inlineStr"/>
      <c r="D8" s="44" t="inlineStr"/>
      <c r="E8" s="44" t="inlineStr"/>
      <c r="F8" s="44" t="inlineStr"/>
      <c r="G8" s="44" t="inlineStr"/>
      <c r="H8" s="44" t="inlineStr"/>
      <c r="I8" s="44" t="inlineStr"/>
    </row>
    <row r="9" ht="18" customHeight="1">
      <c r="A9" s="48" t="inlineStr"/>
      <c r="B9" s="46" t="inlineStr"/>
      <c r="C9" s="46" t="inlineStr"/>
      <c r="D9" s="46" t="inlineStr"/>
      <c r="E9" s="46" t="inlineStr"/>
      <c r="F9" s="46" t="inlineStr"/>
      <c r="G9" s="46" t="inlineStr"/>
      <c r="H9" s="46" t="inlineStr"/>
      <c r="I9" s="46" t="inlineStr"/>
    </row>
    <row r="10" ht="18" customHeight="1">
      <c r="A10" s="48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</row>
    <row r="11" ht="18" customHeight="1">
      <c r="A11" s="48" t="inlineStr"/>
      <c r="B11" s="46" t="inlineStr"/>
      <c r="C11" s="46" t="inlineStr"/>
      <c r="D11" s="46" t="inlineStr"/>
      <c r="E11" s="46" t="inlineStr"/>
      <c r="F11" s="46" t="inlineStr"/>
      <c r="G11" s="46" t="inlineStr"/>
      <c r="H11" s="46" t="inlineStr"/>
      <c r="I11" s="46" t="inlineStr"/>
    </row>
    <row r="12" ht="18" customHeight="1">
      <c r="A12" s="48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</row>
    <row r="13" ht="18" customHeight="1">
      <c r="A13" s="48" t="inlineStr"/>
      <c r="B13" s="46" t="inlineStr"/>
      <c r="C13" s="46" t="inlineStr"/>
      <c r="D13" s="46" t="inlineStr"/>
      <c r="E13" s="46" t="inlineStr"/>
      <c r="F13" s="46" t="inlineStr"/>
      <c r="G13" s="46" t="inlineStr"/>
      <c r="H13" s="46" t="inlineStr"/>
      <c r="I13" s="46" t="inlineStr"/>
    </row>
    <row r="14" ht="18" customHeight="1">
      <c r="A14" s="48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</row>
    <row r="15" ht="18" customHeight="1">
      <c r="A15" s="48" t="inlineStr"/>
      <c r="B15" s="46" t="inlineStr"/>
      <c r="C15" s="46" t="inlineStr"/>
      <c r="D15" s="46" t="inlineStr"/>
      <c r="E15" s="46" t="inlineStr"/>
      <c r="F15" s="46" t="inlineStr"/>
      <c r="G15" s="46" t="inlineStr"/>
      <c r="H15" s="46" t="inlineStr"/>
      <c r="I15" s="46" t="inlineStr"/>
    </row>
    <row r="16" ht="18" customHeight="1">
      <c r="A16" s="48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</row>
    <row r="17" ht="18" customHeight="1">
      <c r="A17" s="48" t="inlineStr"/>
      <c r="B17" s="46" t="inlineStr"/>
      <c r="C17" s="46" t="inlineStr"/>
      <c r="D17" s="46" t="inlineStr"/>
      <c r="E17" s="46" t="inlineStr"/>
      <c r="F17" s="46" t="inlineStr"/>
      <c r="G17" s="46" t="inlineStr"/>
      <c r="H17" s="46" t="inlineStr"/>
      <c r="I17" s="46" t="inlineStr"/>
    </row>
    <row r="18" ht="18" customHeight="1">
      <c r="A18" s="48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</row>
    <row r="19" ht="18" customHeight="1">
      <c r="A19" s="48" t="inlineStr"/>
      <c r="B19" s="46" t="inlineStr"/>
      <c r="C19" s="46" t="inlineStr"/>
      <c r="D19" s="46" t="inlineStr"/>
      <c r="E19" s="46" t="inlineStr"/>
      <c r="F19" s="46" t="inlineStr"/>
      <c r="G19" s="46" t="inlineStr"/>
      <c r="H19" s="46" t="inlineStr"/>
      <c r="I19" s="46" t="inlineStr"/>
    </row>
    <row r="20" ht="18" customHeight="1">
      <c r="A20" s="48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</row>
    <row r="21" ht="18" customHeight="1">
      <c r="A21" s="48" t="inlineStr"/>
      <c r="B21" s="46" t="inlineStr"/>
      <c r="C21" s="46" t="inlineStr"/>
      <c r="D21" s="46" t="inlineStr"/>
      <c r="E21" s="46" t="inlineStr"/>
      <c r="F21" s="46" t="inlineStr"/>
      <c r="G21" s="46" t="inlineStr"/>
      <c r="H21" s="46" t="inlineStr"/>
      <c r="I21" s="46" t="inlineStr"/>
    </row>
    <row r="22" ht="18" customHeight="1">
      <c r="A22" s="48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</row>
    <row r="23">
      <c r="A23" s="48" t="inlineStr"/>
      <c r="B23" s="46" t="inlineStr"/>
      <c r="C23" s="46" t="inlineStr"/>
      <c r="D23" s="46" t="inlineStr"/>
      <c r="E23" s="46" t="inlineStr"/>
      <c r="F23" s="46" t="inlineStr"/>
      <c r="G23" s="46" t="inlineStr"/>
      <c r="H23" s="46" t="inlineStr"/>
      <c r="I23" s="46" t="inlineStr"/>
    </row>
    <row r="24" ht="30" customHeight="1"/>
    <row r="25">
      <c r="A25" s="49" t="inlineStr">
        <is>
          <t>ℹ  Reg. note: under the Safety, Health &amp; Welfare at Work Act 2005 employees must be trained for the work they do — keep this matrix current and dated.
    Pozn.: podľa zákona o BOZP 2005 musia byť zamestnanci školení na svoju prácu — maticu udržiavajte aktuálnu a s dátumami.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5">
    <mergeCell ref="A2:I2"/>
    <mergeCell ref="A5:I5"/>
    <mergeCell ref="A1:I1"/>
    <mergeCell ref="B3:I3"/>
    <mergeCell ref="A24:I24"/>
  </mergeCells>
  <conditionalFormatting sqref="C7:H22">
    <cfRule type="cellIs" priority="1" operator="equal" dxfId="4">
      <formula>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Hospitality Operations &amp; GP Bundle — DEMO (EN/SK)</dc:title>
  <dc:subject>Hospitality operations — cashflow, GP costing, stock, rota, takings, training</dc:subject>
  <dcterms:created xsi:type="dcterms:W3CDTF">2026-05-30T21:54:08Z</dcterms:created>
  <dcterms:modified xsi:type="dcterms:W3CDTF">2026-05-30T21:54:09Z</dcterms:modified>
</cp:coreProperties>
</file>