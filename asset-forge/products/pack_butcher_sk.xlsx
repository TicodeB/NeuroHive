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dielov" sheetId="5" state="visible" r:id="rId5"/>
    <sheet name="05 · Navážka a orez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B1A1A"/>
      <sz val="22"/>
    </font>
    <font>
      <name val="Calibri"/>
      <color rgb="006B7280"/>
      <sz val="11"/>
    </font>
    <font>
      <name val="Calibri"/>
      <b val="1"/>
      <color rgb="007A2E2E"/>
      <sz val="10.5"/>
    </font>
    <font>
      <name val="Calibri"/>
      <color rgb="006B7280"/>
      <sz val="10"/>
    </font>
    <font>
      <name val="Calibri"/>
      <color rgb="002B1A1A"/>
      <sz val="10"/>
    </font>
    <font>
      <name val="Calibri"/>
      <i val="1"/>
      <color rgb="002B1A1A"/>
      <sz val="9.5"/>
    </font>
    <font>
      <name val="Calibri"/>
      <i val="1"/>
      <color rgb="009AA3B0"/>
      <sz val="8"/>
    </font>
    <font>
      <name val="Calibri"/>
      <b val="1"/>
      <color rgb="002B1A1A"/>
      <sz val="10"/>
    </font>
    <font>
      <name val="Calibri"/>
      <b val="1"/>
      <color rgb="007A2E2E"/>
      <sz val="11"/>
    </font>
    <font>
      <name val="Calibri"/>
      <b val="1"/>
      <color rgb="00FFFFFF"/>
      <sz val="10"/>
    </font>
    <font>
      <name val="Calibri"/>
      <color rgb="002B1A1A"/>
      <sz val="9.5"/>
    </font>
    <font>
      <name val="Calibri"/>
      <b val="1"/>
      <color rgb="006B7280"/>
      <sz val="9.5"/>
    </font>
    <font>
      <name val="Calibri"/>
      <b val="1"/>
      <color rgb="007A2E2E"/>
      <sz val="9.5"/>
    </font>
    <font>
      <name val="Calibri"/>
      <b val="1"/>
      <color rgb="002B1A1A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7A2E2E"/>
      <sz val="20"/>
    </font>
    <font>
      <name val="Calibri"/>
      <b val="1"/>
      <color rgb="00A23E3E"/>
      <sz val="20"/>
    </font>
    <font>
      <name val="Calibri"/>
      <b val="1"/>
      <color rgb="002B1A1A"/>
      <sz val="20"/>
    </font>
    <font>
      <name val="Calibri"/>
      <color rgb="002B1A1A"/>
      <sz val="10.5"/>
    </font>
  </fonts>
  <fills count="10">
    <fill>
      <patternFill/>
    </fill>
    <fill>
      <patternFill patternType="gray125"/>
    </fill>
    <fill>
      <patternFill patternType="solid">
        <fgColor rgb="00A23E3E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7A2E2E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B1A1A"/>
      </patternFill>
    </fill>
  </fills>
  <borders count="13">
    <border>
      <left/>
      <right/>
      <top/>
      <bottom/>
      <diagonal/>
    </border>
    <border>
      <bottom style="thin">
        <color rgb="007A2E2E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A23E3E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5" fontId="11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166" fontId="14" fillId="3" borderId="4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1A1A"/>
    <outlinePr summaryBelow="1" summaryRight="1"/>
    <pageSetUpPr/>
  </sheetPr>
  <dimension ref="B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B1" s="1" t="inlineStr">
        <is>
          <t>Mäsiarstvo</t>
        </is>
      </c>
    </row>
    <row r="2" ht="20" customHeight="1">
      <c r="B2" s="2" t="inlineStr">
        <is>
          <t>Balík, ktorý ustráži výťažnosť, orez a maržu dielov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dielov</t>
        </is>
      </c>
      <c r="C7" s="7" t="inlineStr">
        <is>
          <t>Náklad na kg, výťažnosť a marža dielu/výrobku</t>
        </is>
      </c>
    </row>
    <row r="8" ht="20" customHeight="1">
      <c r="B8" s="6" t="inlineStr">
        <is>
          <t xml:space="preserve">  Navážka a orez</t>
        </is>
      </c>
      <c r="C8" s="7" t="inlineStr">
        <is>
          <t>Jatočné telá → diely; hodnota orezu a strát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pultu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kontrola chladenia</t>
        </is>
      </c>
    </row>
    <row r="15" ht="22" customHeight="1">
      <c r="B15" s="8" t="inlineStr">
        <is>
          <t>•  PRÍJEM: navážka jatočných tiel</t>
        </is>
      </c>
    </row>
    <row r="16" ht="22" customHeight="1">
      <c r="B16" s="8" t="inlineStr">
        <is>
          <t>•  POČAS DŇA: búranie, orez a straty</t>
        </is>
      </c>
    </row>
    <row r="17" ht="22" customHeight="1">
      <c r="B17" s="8" t="inlineStr">
        <is>
          <t>•  VEČER: uzávierka pultu + veľkoodber</t>
        </is>
      </c>
    </row>
    <row r="18" ht="22" customHeight="1">
      <c r="B18" s="8" t="inlineStr">
        <is>
          <t>•  MESAČNE: cash flow + prehľad výťažnosti</t>
        </is>
      </c>
    </row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23E3E"/>
    <outlinePr summaryBelow="1" summaryRight="1"/>
    <pageSetUpPr/>
  </sheetPr>
  <dimension ref="B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rozvrh búrania a expedície</t>
        </is>
      </c>
    </row>
    <row r="3" ht="3" customHeight="1">
      <c r="B3" s="3" t="n"/>
      <c r="C3" s="3" t="n"/>
      <c r="D3" s="3" t="n"/>
      <c r="E3" s="3" t="n"/>
    </row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chladiarní a mraziarní</t>
        </is>
      </c>
      <c r="C33" s="21" t="n"/>
      <c r="D33" s="21" t="n"/>
      <c r="E33" s="18" t="n"/>
    </row>
    <row r="34" ht="19" customHeight="1">
      <c r="B34" s="22" t="inlineStr">
        <is>
          <t xml:space="preserve">  Otvorenie: čistota píly a nožov</t>
        </is>
      </c>
      <c r="C34" s="21" t="n"/>
      <c r="D34" s="21" t="n"/>
      <c r="E34" s="18" t="n"/>
    </row>
    <row r="35" ht="19" customHeight="1">
      <c r="B35" s="20" t="inlineStr">
        <is>
          <t xml:space="preserve">  Zatvorenie: navážka a straty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faktúry veľkoodber</t>
        </is>
      </c>
      <c r="C36" s="21" t="n"/>
      <c r="D36" s="21" t="n"/>
      <c r="E36" s="18" t="n"/>
    </row>
    <row r="37" ht="19" customHeight="1">
      <c r="B37" s="20" t="inlineStr">
        <is>
          <t xml:space="preserve">  Zatvorenie: chladiaci reťazec zabezpečený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A2E2E"/>
    <outlinePr summaryBelow="1" summaryRight="1"/>
    <pageSetUpPr/>
  </sheetPr>
  <dimension ref="B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výťažnosť, orez a marža dielov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</t>
        </is>
      </c>
      <c r="D6" s="29" t="n"/>
      <c r="F6" s="28" t="inlineStr">
        <is>
          <t>HRUBÁ MARŽA</t>
        </is>
      </c>
      <c r="H6" s="29" t="n"/>
      <c r="J6" s="28" t="inlineStr">
        <is>
          <t>ČISTÝ ZISK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</t>
        </is>
      </c>
      <c r="D11" s="29" t="n"/>
      <c r="F11" s="28" t="inlineStr">
        <is>
          <t>PRIEMERNÁ MARŽA DIELOV</t>
        </is>
      </c>
      <c r="H11" s="29" t="n"/>
      <c r="J11" s="28" t="inlineStr">
        <is>
          <t>HODNOTA OREZU A STRÁT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dielov'!H30,0)</f>
        <v/>
      </c>
      <c r="H12" s="29" t="n"/>
      <c r="J12" s="32">
        <f>IFERROR('05 · Navážka a orez'!I27,0)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5" ht="4" customHeight="1">
      <c r="B15" s="23" t="inlineStr"/>
      <c r="C15" s="24" t="n"/>
      <c r="D15" s="25" t="n"/>
    </row>
    <row r="16" ht="18" customHeight="1">
      <c r="B16" s="28" t="inlineStr">
        <is>
          <t>PODIEL MIEZD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IFERROR("Podiel miezd: "&amp;TEXT('06 · Zmeny'!I31,"0.0%")&amp;IF('06 · Zmeny'!I31&gt;0.35," — NAD cieľom 35 %."," — v poriadku."),"Podiel miezd: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IFERROR("Hodnota strát/odpisu: "&amp;TEXT('05 · Navážka a orez'!I27,"#,##0.00 €")&amp;".","Straty: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dielov'!H31,"0")&amp;".","Marža: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"&amp;TEXT('07 · Tržby'!H40,"#,##0.00 €")&amp;IF(ABS('07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A2E2E"/>
    <outlinePr summaryBelow="1" summaryRight="1"/>
    <pageSetUpPr/>
  </sheetPr>
  <dimension ref="B1:O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bunky. Súčty, marža, zisk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pult (maloobchod)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</row>
    <row r="11" ht="16" customHeight="1">
      <c r="B11" s="20" t="inlineStr">
        <is>
          <t>Tržby veľkoodber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</row>
    <row r="12" ht="16" customHeight="1">
      <c r="B12" s="20" t="inlineStr">
        <is>
          <t>Tržby výroba (údeniny)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</row>
    <row r="13" ht="16" customHeight="1">
      <c r="B13" s="43" t="inlineStr">
        <is>
          <t>Tržby spolu</t>
        </is>
      </c>
      <c r="C13" s="44">
        <f>SUM(C10:C12)</f>
        <v/>
      </c>
      <c r="D13" s="44">
        <f>SUM(D10:D12)</f>
        <v/>
      </c>
      <c r="E13" s="44">
        <f>SUM(E10:E12)</f>
        <v/>
      </c>
      <c r="F13" s="44">
        <f>SUM(F10:F12)</f>
        <v/>
      </c>
      <c r="G13" s="44">
        <f>SUM(G10:G12)</f>
        <v/>
      </c>
      <c r="H13" s="44">
        <f>SUM(H10:H12)</f>
        <v/>
      </c>
      <c r="I13" s="44">
        <f>SUM(I10:I12)</f>
        <v/>
      </c>
      <c r="J13" s="44">
        <f>SUM(J10:J12)</f>
        <v/>
      </c>
      <c r="K13" s="44">
        <f>SUM(K10:K12)</f>
        <v/>
      </c>
      <c r="L13" s="44">
        <f>SUM(L10:L12)</f>
        <v/>
      </c>
      <c r="M13" s="44">
        <f>SUM(M10:M12)</f>
        <v/>
      </c>
      <c r="N13" s="44">
        <f>SUM(N10:N12)</f>
        <v/>
      </c>
      <c r="O13" s="42">
        <f>SUM(C13:N13)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jatočných tiel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</row>
    <row r="16" ht="16" customHeight="1">
      <c r="B16" s="20" t="inlineStr">
        <is>
          <t>Koreniny, obaly a črevá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</row>
    <row r="17" ht="16" customHeight="1">
      <c r="B17" s="43" t="inlineStr">
        <is>
          <t>Náklady spolu</t>
        </is>
      </c>
      <c r="C17" s="44">
        <f>SUM(C15:C16)</f>
        <v/>
      </c>
      <c r="D17" s="44">
        <f>SUM(D15:D16)</f>
        <v/>
      </c>
      <c r="E17" s="44">
        <f>SUM(E15:E16)</f>
        <v/>
      </c>
      <c r="F17" s="44">
        <f>SUM(F15:F16)</f>
        <v/>
      </c>
      <c r="G17" s="44">
        <f>SUM(G15:G16)</f>
        <v/>
      </c>
      <c r="H17" s="44">
        <f>SUM(H15:H16)</f>
        <v/>
      </c>
      <c r="I17" s="44">
        <f>SUM(I15:I16)</f>
        <v/>
      </c>
      <c r="J17" s="44">
        <f>SUM(J15:J16)</f>
        <v/>
      </c>
      <c r="K17" s="44">
        <f>SUM(K15:K16)</f>
        <v/>
      </c>
      <c r="L17" s="44">
        <f>SUM(L15:L16)</f>
        <v/>
      </c>
      <c r="M17" s="44">
        <f>SUM(M15:M16)</f>
        <v/>
      </c>
      <c r="N17" s="44">
        <f>SUM(N15:N16)</f>
        <v/>
      </c>
      <c r="O17" s="42">
        <f>SUM(C17:N17)</f>
        <v/>
      </c>
    </row>
    <row r="18" ht="16" customHeight="1">
      <c r="B18" s="43" t="inlineStr">
        <is>
          <t>HRUBÁ MARŽA</t>
        </is>
      </c>
      <c r="C18" s="44">
        <f>C13-C17</f>
        <v/>
      </c>
      <c r="D18" s="44">
        <f>D13-D17</f>
        <v/>
      </c>
      <c r="E18" s="44">
        <f>E13-E17</f>
        <v/>
      </c>
      <c r="F18" s="44">
        <f>F13-F17</f>
        <v/>
      </c>
      <c r="G18" s="44">
        <f>G13-G17</f>
        <v/>
      </c>
      <c r="H18" s="44">
        <f>H13-H17</f>
        <v/>
      </c>
      <c r="I18" s="44">
        <f>I13-I17</f>
        <v/>
      </c>
      <c r="J18" s="44">
        <f>J13-J17</f>
        <v/>
      </c>
      <c r="K18" s="44">
        <f>K13-K17</f>
        <v/>
      </c>
      <c r="L18" s="44">
        <f>L13-L17</f>
        <v/>
      </c>
      <c r="M18" s="44">
        <f>M13-M17</f>
        <v/>
      </c>
      <c r="N18" s="44">
        <f>N13-N17</f>
        <v/>
      </c>
      <c r="O18" s="42">
        <f>SUM(C18:N18)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</row>
    <row r="22" ht="16" customHeight="1">
      <c r="B22" s="20" t="inlineStr">
        <is>
          <t>Energie a chladenie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</row>
    <row r="23" ht="16" customHeight="1">
      <c r="B23" s="20" t="inlineStr">
        <is>
          <t>Doprava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</row>
    <row r="25" ht="16" customHeight="1">
      <c r="B25" s="43" t="inlineStr">
        <is>
          <t>Réžie spolu</t>
        </is>
      </c>
      <c r="C25" s="44">
        <f>SUM(C20:C24)</f>
        <v/>
      </c>
      <c r="D25" s="44">
        <f>SUM(D20:D24)</f>
        <v/>
      </c>
      <c r="E25" s="44">
        <f>SUM(E20:E24)</f>
        <v/>
      </c>
      <c r="F25" s="44">
        <f>SUM(F20:F24)</f>
        <v/>
      </c>
      <c r="G25" s="44">
        <f>SUM(G20:G24)</f>
        <v/>
      </c>
      <c r="H25" s="44">
        <f>SUM(H20:H24)</f>
        <v/>
      </c>
      <c r="I25" s="44">
        <f>SUM(I20:I24)</f>
        <v/>
      </c>
      <c r="J25" s="44">
        <f>SUM(J20:J24)</f>
        <v/>
      </c>
      <c r="K25" s="44">
        <f>SUM(K20:K24)</f>
        <v/>
      </c>
      <c r="L25" s="44">
        <f>SUM(L20:L24)</f>
        <v/>
      </c>
      <c r="M25" s="44">
        <f>SUM(M20:M24)</f>
        <v/>
      </c>
      <c r="N25" s="44">
        <f>SUM(N20:N24)</f>
        <v/>
      </c>
      <c r="O25" s="42">
        <f>SUM(C25:N25)</f>
        <v/>
      </c>
    </row>
    <row r="26" ht="16" customHeight="1">
      <c r="B26" s="43" t="inlineStr">
        <is>
          <t>ČISTÝ ZISK</t>
        </is>
      </c>
      <c r="C26" s="44">
        <f>C18-C25</f>
        <v/>
      </c>
      <c r="D26" s="44">
        <f>D18-D25</f>
        <v/>
      </c>
      <c r="E26" s="44">
        <f>E18-E25</f>
        <v/>
      </c>
      <c r="F26" s="44">
        <f>F18-F25</f>
        <v/>
      </c>
      <c r="G26" s="44">
        <f>G18-G25</f>
        <v/>
      </c>
      <c r="H26" s="44">
        <f>H18-H25</f>
        <v/>
      </c>
      <c r="I26" s="44">
        <f>I18-I25</f>
        <v/>
      </c>
      <c r="J26" s="44">
        <f>J18-J25</f>
        <v/>
      </c>
      <c r="K26" s="44">
        <f>K18-K25</f>
        <v/>
      </c>
      <c r="L26" s="44">
        <f>L18-L25</f>
        <v/>
      </c>
      <c r="M26" s="44">
        <f>M18-M25</f>
        <v/>
      </c>
      <c r="N26" s="44">
        <f>N18-N25</f>
        <v/>
      </c>
      <c r="O26" s="42">
        <f>SUM(C26:N26)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4">
        <f>C29</f>
        <v/>
      </c>
      <c r="E28" s="44">
        <f>D29</f>
        <v/>
      </c>
      <c r="F28" s="44">
        <f>E29</f>
        <v/>
      </c>
      <c r="G28" s="44">
        <f>F29</f>
        <v/>
      </c>
      <c r="H28" s="44">
        <f>G29</f>
        <v/>
      </c>
      <c r="I28" s="44">
        <f>H29</f>
        <v/>
      </c>
      <c r="J28" s="44">
        <f>I29</f>
        <v/>
      </c>
      <c r="K28" s="44">
        <f>J29</f>
        <v/>
      </c>
      <c r="L28" s="44">
        <f>K29</f>
        <v/>
      </c>
      <c r="M28" s="44">
        <f>L29</f>
        <v/>
      </c>
      <c r="N28" s="44">
        <f>M29</f>
        <v/>
      </c>
      <c r="O28" s="44">
        <f>C28</f>
        <v/>
      </c>
    </row>
    <row r="29">
      <c r="B29" s="43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9:O9"/>
    <mergeCell ref="B1:O1"/>
    <mergeCell ref="B27:O27"/>
    <mergeCell ref="C5:E5"/>
    <mergeCell ref="B2:O2"/>
    <mergeCell ref="B7:O7"/>
    <mergeCell ref="B19:O19"/>
    <mergeCell ref="B14:O14"/>
  </mergeCells>
  <conditionalFormatting sqref="C29:N29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23E3E"/>
    <outlinePr summaryBelow="1" summaryRight="1"/>
    <pageSetUpPr/>
  </sheetPr>
  <dimension ref="B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dielov</t>
        </is>
      </c>
    </row>
    <row r="2" ht="20" customHeight="1">
      <c r="B2" s="2" t="inlineStr">
        <is>
          <t>Náklad na kg, výťažnosť a marža dielu/výrobku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Diel / výrobok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5" t="inlineStr">
        <is>
          <t>Bravčové karé</t>
        </is>
      </c>
      <c r="C8" s="46" t="n"/>
      <c r="D8" s="47" t="n"/>
      <c r="E8" s="48" t="n"/>
      <c r="F8" s="49">
        <f>IF(OR(D8="",E8=""),"",D8/(1-E8))</f>
        <v/>
      </c>
      <c r="G8" s="47" t="n"/>
      <c r="H8" s="50">
        <f>IF(OR(G8="",D8=""),"",(G8-D8)/G8)</f>
        <v/>
      </c>
      <c r="I8" s="51">
        <f>IF(OR(H8="",E8=""),"",IF(H8&lt;E8,"NÍZKA","OK"))</f>
        <v/>
      </c>
    </row>
    <row r="9" ht="19" customHeight="1">
      <c r="B9" s="52" t="inlineStr">
        <is>
          <t>Hovädzia sviečková</t>
        </is>
      </c>
      <c r="C9" s="53" t="n"/>
      <c r="D9" s="47" t="n"/>
      <c r="E9" s="48" t="n"/>
      <c r="F9" s="49">
        <f>IF(OR(D9="",E9=""),"",D9/(1-E9))</f>
        <v/>
      </c>
      <c r="G9" s="47" t="n"/>
      <c r="H9" s="50">
        <f>IF(OR(G9="",D9=""),"",(G9-D9)/G9)</f>
        <v/>
      </c>
      <c r="I9" s="54">
        <f>IF(OR(H9="",E9=""),"",IF(H9&lt;E9,"NÍZKA","OK"))</f>
        <v/>
      </c>
    </row>
    <row r="10" ht="19" customHeight="1">
      <c r="B10" s="45" t="inlineStr">
        <is>
          <t>Mleté mäso</t>
        </is>
      </c>
      <c r="C10" s="46" t="n"/>
      <c r="D10" s="47" t="n"/>
      <c r="E10" s="48" t="n"/>
      <c r="F10" s="49">
        <f>IF(OR(D10="",E10=""),"",D10/(1-E10))</f>
        <v/>
      </c>
      <c r="G10" s="47" t="n"/>
      <c r="H10" s="50">
        <f>IF(OR(G10="",D10=""),"",(G10-D10)/G10)</f>
        <v/>
      </c>
      <c r="I10" s="51">
        <f>IF(OR(H10="",E10=""),"",IF(H10&lt;E10,"NÍZKA","OK"))</f>
        <v/>
      </c>
    </row>
    <row r="11" ht="19" customHeight="1">
      <c r="B11" s="52" t="inlineStr">
        <is>
          <t>Klobása domáca</t>
        </is>
      </c>
      <c r="C11" s="53" t="n"/>
      <c r="D11" s="47" t="n"/>
      <c r="E11" s="48" t="n"/>
      <c r="F11" s="49">
        <f>IF(OR(D11="",E11=""),"",D11/(1-E11))</f>
        <v/>
      </c>
      <c r="G11" s="47" t="n"/>
      <c r="H11" s="50">
        <f>IF(OR(G11="",D11=""),"",(G11-D11)/G11)</f>
        <v/>
      </c>
      <c r="I11" s="54">
        <f>IF(OR(H11="",E11=""),"",IF(H11&lt;E11,"NÍZKA","OK"))</f>
        <v/>
      </c>
    </row>
    <row r="12" ht="19" customHeight="1">
      <c r="B12" s="45" t="inlineStr">
        <is>
          <t>Slanina údená</t>
        </is>
      </c>
      <c r="C12" s="46" t="n"/>
      <c r="D12" s="47" t="n"/>
      <c r="E12" s="48" t="n"/>
      <c r="F12" s="49">
        <f>IF(OR(D12="",E12=""),"",D12/(1-E12))</f>
        <v/>
      </c>
      <c r="G12" s="47" t="n"/>
      <c r="H12" s="50">
        <f>IF(OR(G12="",D12=""),"",(G12-D12)/G12)</f>
        <v/>
      </c>
      <c r="I12" s="51">
        <f>IF(OR(H12="",E12=""),"",IF(H12&lt;E12,"NÍZKA","OK"))</f>
        <v/>
      </c>
    </row>
    <row r="13" ht="19" customHeight="1">
      <c r="B13" s="52" t="n"/>
      <c r="C13" s="53" t="n"/>
      <c r="D13" s="47" t="n"/>
      <c r="E13" s="48" t="n"/>
      <c r="F13" s="49">
        <f>IF(OR(D13="",E13=""),"",D13/(1-E13))</f>
        <v/>
      </c>
      <c r="G13" s="47" t="n"/>
      <c r="H13" s="50">
        <f>IF(OR(G13="",D13=""),"",(G13-D13)/G13)</f>
        <v/>
      </c>
      <c r="I13" s="54">
        <f>IF(OR(H13="",E13=""),"",IF(H13&lt;E13,"NÍZKA","OK"))</f>
        <v/>
      </c>
    </row>
    <row r="14" ht="19" customHeight="1">
      <c r="B14" s="45" t="n"/>
      <c r="C14" s="46" t="n"/>
      <c r="D14" s="47" t="n"/>
      <c r="E14" s="48" t="n"/>
      <c r="F14" s="49">
        <f>IF(OR(D14="",E14=""),"",D14/(1-E14))</f>
        <v/>
      </c>
      <c r="G14" s="47" t="n"/>
      <c r="H14" s="50">
        <f>IF(OR(G14="",D14=""),"",(G14-D14)/G14)</f>
        <v/>
      </c>
      <c r="I14" s="51">
        <f>IF(OR(H14="",E14=""),"",IF(H14&lt;E14,"NÍZKA","OK"))</f>
        <v/>
      </c>
    </row>
    <row r="15" ht="19" customHeight="1">
      <c r="B15" s="52" t="n"/>
      <c r="C15" s="53" t="n"/>
      <c r="D15" s="47" t="n"/>
      <c r="E15" s="48" t="n"/>
      <c r="F15" s="49">
        <f>IF(OR(D15="",E15=""),"",D15/(1-E15))</f>
        <v/>
      </c>
      <c r="G15" s="47" t="n"/>
      <c r="H15" s="50">
        <f>IF(OR(G15="",D15=""),"",(G15-D15)/G15)</f>
        <v/>
      </c>
      <c r="I15" s="54">
        <f>IF(OR(H15="",E15=""),"",IF(H15&lt;E15,"NÍZKA","OK"))</f>
        <v/>
      </c>
    </row>
    <row r="16" ht="19" customHeight="1">
      <c r="B16" s="45" t="n"/>
      <c r="C16" s="46" t="n"/>
      <c r="D16" s="47" t="n"/>
      <c r="E16" s="48" t="n"/>
      <c r="F16" s="49">
        <f>IF(OR(D16="",E16=""),"",D16/(1-E16))</f>
        <v/>
      </c>
      <c r="G16" s="47" t="n"/>
      <c r="H16" s="50">
        <f>IF(OR(G16="",D16=""),"",(G16-D16)/G16)</f>
        <v/>
      </c>
      <c r="I16" s="51">
        <f>IF(OR(H16="",E16=""),"",IF(H16&lt;E16,"NÍZKA","OK"))</f>
        <v/>
      </c>
    </row>
    <row r="17" ht="19" customHeight="1">
      <c r="B17" s="52" t="n"/>
      <c r="C17" s="53" t="n"/>
      <c r="D17" s="47" t="n"/>
      <c r="E17" s="48" t="n"/>
      <c r="F17" s="49">
        <f>IF(OR(D17="",E17=""),"",D17/(1-E17))</f>
        <v/>
      </c>
      <c r="G17" s="47" t="n"/>
      <c r="H17" s="50">
        <f>IF(OR(G17="",D17=""),"",(G17-D17)/G17)</f>
        <v/>
      </c>
      <c r="I17" s="54">
        <f>IF(OR(H17="",E17=""),"",IF(H17&lt;E17,"NÍZKA","OK"))</f>
        <v/>
      </c>
    </row>
    <row r="18" ht="19" customHeight="1">
      <c r="B18" s="45" t="n"/>
      <c r="C18" s="46" t="n"/>
      <c r="D18" s="47" t="n"/>
      <c r="E18" s="48" t="n"/>
      <c r="F18" s="49">
        <f>IF(OR(D18="",E18=""),"",D18/(1-E18))</f>
        <v/>
      </c>
      <c r="G18" s="47" t="n"/>
      <c r="H18" s="50">
        <f>IF(OR(G18="",D18=""),"",(G18-D18)/G18)</f>
        <v/>
      </c>
      <c r="I18" s="51">
        <f>IF(OR(H18="",E18=""),"",IF(H18&lt;E18,"NÍZKA","OK"))</f>
        <v/>
      </c>
    </row>
    <row r="19" ht="19" customHeight="1">
      <c r="B19" s="52" t="n"/>
      <c r="C19" s="53" t="n"/>
      <c r="D19" s="47" t="n"/>
      <c r="E19" s="48" t="n"/>
      <c r="F19" s="49">
        <f>IF(OR(D19="",E19=""),"",D19/(1-E19))</f>
        <v/>
      </c>
      <c r="G19" s="47" t="n"/>
      <c r="H19" s="50">
        <f>IF(OR(G19="",D19=""),"",(G19-D19)/G19)</f>
        <v/>
      </c>
      <c r="I19" s="54">
        <f>IF(OR(H19="",E19=""),"",IF(H19&lt;E19,"NÍZKA","OK"))</f>
        <v/>
      </c>
    </row>
    <row r="20" ht="19" customHeight="1">
      <c r="B20" s="45" t="n"/>
      <c r="C20" s="46" t="n"/>
      <c r="D20" s="47" t="n"/>
      <c r="E20" s="48" t="n"/>
      <c r="F20" s="49">
        <f>IF(OR(D20="",E20=""),"",D20/(1-E20))</f>
        <v/>
      </c>
      <c r="G20" s="47" t="n"/>
      <c r="H20" s="50">
        <f>IF(OR(G20="",D20=""),"",(G20-D20)/G20)</f>
        <v/>
      </c>
      <c r="I20" s="51">
        <f>IF(OR(H20="",E20=""),"",IF(H20&lt;E20,"NÍZKA","OK"))</f>
        <v/>
      </c>
    </row>
    <row r="21" ht="19" customHeight="1">
      <c r="B21" s="52" t="n"/>
      <c r="C21" s="53" t="n"/>
      <c r="D21" s="47" t="n"/>
      <c r="E21" s="48" t="n"/>
      <c r="F21" s="49">
        <f>IF(OR(D21="",E21=""),"",D21/(1-E21))</f>
        <v/>
      </c>
      <c r="G21" s="47" t="n"/>
      <c r="H21" s="50">
        <f>IF(OR(G21="",D21=""),"",(G21-D21)/G21)</f>
        <v/>
      </c>
      <c r="I21" s="54">
        <f>IF(OR(H21="",E21=""),"",IF(H21&lt;E21,"NÍZKA","OK"))</f>
        <v/>
      </c>
    </row>
    <row r="22" ht="19" customHeight="1">
      <c r="B22" s="45" t="n"/>
      <c r="C22" s="46" t="n"/>
      <c r="D22" s="47" t="n"/>
      <c r="E22" s="48" t="n"/>
      <c r="F22" s="49">
        <f>IF(OR(D22="",E22=""),"",D22/(1-E22))</f>
        <v/>
      </c>
      <c r="G22" s="47" t="n"/>
      <c r="H22" s="50">
        <f>IF(OR(G22="",D22=""),"",(G22-D22)/G22)</f>
        <v/>
      </c>
      <c r="I22" s="51">
        <f>IF(OR(H22="",E22=""),"",IF(H22&lt;E22,"NÍZKA","OK"))</f>
        <v/>
      </c>
    </row>
    <row r="23" ht="19" customHeight="1">
      <c r="B23" s="52" t="n"/>
      <c r="C23" s="53" t="n"/>
      <c r="D23" s="47" t="n"/>
      <c r="E23" s="48" t="n"/>
      <c r="F23" s="49">
        <f>IF(OR(D23="",E23=""),"",D23/(1-E23))</f>
        <v/>
      </c>
      <c r="G23" s="47" t="n"/>
      <c r="H23" s="50">
        <f>IF(OR(G23="",D23=""),"",(G23-D23)/G23)</f>
        <v/>
      </c>
      <c r="I23" s="54">
        <f>IF(OR(H23="",E23=""),"",IF(H23&lt;E23,"NÍZKA","OK"))</f>
        <v/>
      </c>
    </row>
    <row r="24" ht="19" customHeight="1">
      <c r="B24" s="45" t="n"/>
      <c r="C24" s="46" t="n"/>
      <c r="D24" s="47" t="n"/>
      <c r="E24" s="48" t="n"/>
      <c r="F24" s="49">
        <f>IF(OR(D24="",E24=""),"",D24/(1-E24))</f>
        <v/>
      </c>
      <c r="G24" s="47" t="n"/>
      <c r="H24" s="50">
        <f>IF(OR(G24="",D24=""),"",(G24-D24)/G24)</f>
        <v/>
      </c>
      <c r="I24" s="51">
        <f>IF(OR(H24="",E24=""),"",IF(H24&lt;E24,"NÍZKA","OK"))</f>
        <v/>
      </c>
    </row>
    <row r="25" ht="19" customHeight="1">
      <c r="B25" s="52" t="n"/>
      <c r="C25" s="53" t="n"/>
      <c r="D25" s="47" t="n"/>
      <c r="E25" s="48" t="n"/>
      <c r="F25" s="49">
        <f>IF(OR(D25="",E25=""),"",D25/(1-E25))</f>
        <v/>
      </c>
      <c r="G25" s="47" t="n"/>
      <c r="H25" s="50">
        <f>IF(OR(G25="",D25=""),"",(G25-D25)/G25)</f>
        <v/>
      </c>
      <c r="I25" s="54">
        <f>IF(OR(H25="",E25=""),"",IF(H25&lt;E25,"NÍZKA","OK"))</f>
        <v/>
      </c>
    </row>
    <row r="26" ht="19" customHeight="1">
      <c r="B26" s="45" t="n"/>
      <c r="C26" s="46" t="n"/>
      <c r="D26" s="47" t="n"/>
      <c r="E26" s="48" t="n"/>
      <c r="F26" s="49">
        <f>IF(OR(D26="",E26=""),"",D26/(1-E26))</f>
        <v/>
      </c>
      <c r="G26" s="47" t="n"/>
      <c r="H26" s="50">
        <f>IF(OR(G26="",D26=""),"",(G26-D26)/G26)</f>
        <v/>
      </c>
      <c r="I26" s="51">
        <f>IF(OR(H26="",E26=""),"",IF(H26&lt;E26,"NÍZKA","OK"))</f>
        <v/>
      </c>
    </row>
    <row r="27" ht="19" customHeight="1">
      <c r="B27" s="52" t="n"/>
      <c r="C27" s="53" t="n"/>
      <c r="D27" s="47" t="n"/>
      <c r="E27" s="48" t="n"/>
      <c r="F27" s="49">
        <f>IF(OR(D27="",E27=""),"",D27/(1-E27))</f>
        <v/>
      </c>
      <c r="G27" s="47" t="n"/>
      <c r="H27" s="50">
        <f>IF(OR(G27="",D27=""),"",(G27-D27)/G27)</f>
        <v/>
      </c>
      <c r="I27" s="54">
        <f>IF(OR(H27="",E27=""),"",IF(H27&lt;E27,"NÍZKA","OK"))</f>
        <v/>
      </c>
    </row>
    <row r="28" ht="19" customHeight="1">
      <c r="B28" s="45" t="n"/>
      <c r="C28" s="46" t="n"/>
      <c r="D28" s="47" t="n"/>
      <c r="E28" s="48" t="n"/>
      <c r="F28" s="49">
        <f>IF(OR(D28="",E28=""),"",D28/(1-E28))</f>
        <v/>
      </c>
      <c r="G28" s="47" t="n"/>
      <c r="H28" s="50">
        <f>IF(OR(G28="",D28=""),"",(G28-D28)/G28)</f>
        <v/>
      </c>
      <c r="I28" s="51">
        <f>IF(OR(H28="",E28=""),"",IF(H28&lt;E28,"NÍZKA","OK"))</f>
        <v/>
      </c>
    </row>
    <row r="29" ht="19" customHeight="1">
      <c r="B29" s="52" t="n"/>
      <c r="C29" s="53" t="n"/>
      <c r="D29" s="47" t="n"/>
      <c r="E29" s="48" t="n"/>
      <c r="F29" s="49">
        <f>IF(OR(D29="",E29=""),"",D29/(1-E29))</f>
        <v/>
      </c>
      <c r="G29" s="47" t="n"/>
      <c r="H29" s="50">
        <f>IF(OR(G29="",D29=""),"",(G29-D29)/G29)</f>
        <v/>
      </c>
      <c r="I29" s="54">
        <f>IF(OR(H29="",E29=""),"",IF(H29&lt;E29,"NÍZKA","OK"))</f>
        <v/>
      </c>
    </row>
    <row r="30">
      <c r="B30" s="55" t="inlineStr">
        <is>
          <t>Priemerná reálna marža</t>
        </is>
      </c>
      <c r="H30" s="56">
        <f>IFERROR(AVERAGEIF(H8:H29,"&lt;&gt;",H8:H29),0)</f>
        <v/>
      </c>
    </row>
    <row r="31">
      <c r="B31" s="55" t="inlineStr">
        <is>
          <t>Položky pod cieľom</t>
        </is>
      </c>
      <c r="H31" s="57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A2E2E"/>
    <outlinePr summaryBelow="1" summaryRight="1"/>
    <pageSetUpPr/>
  </sheetPr>
  <dimension ref="B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Navážka a orez</t>
        </is>
      </c>
    </row>
    <row r="2" ht="20" customHeight="1">
      <c r="B2" s="2" t="inlineStr">
        <is>
          <t>Jatočné telá → diely; hodnota orezu a strát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Diel / surovina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Orez a strata (množ.)</t>
        </is>
      </c>
      <c r="H8" s="15" t="inlineStr">
        <is>
          <t>Cena/jedn. €</t>
        </is>
      </c>
      <c r="I8" s="15" t="inlineStr">
        <is>
          <t>Hodnota — orez a strata €</t>
        </is>
      </c>
    </row>
    <row r="9" ht="19" customHeight="1">
      <c r="B9" s="45" t="inlineStr">
        <is>
          <t>Jatočné telo bravčové (polovica)</t>
        </is>
      </c>
      <c r="C9" s="46" t="n"/>
      <c r="D9" s="18" t="n"/>
      <c r="E9" s="18" t="n"/>
      <c r="F9" s="18" t="n"/>
      <c r="G9" s="18" t="n"/>
      <c r="H9" s="47" t="n"/>
      <c r="I9" s="49">
        <f>IF(OR(G9="",H9=""),"",G9*H9)</f>
        <v/>
      </c>
    </row>
    <row r="10" ht="19" customHeight="1">
      <c r="B10" s="52" t="inlineStr">
        <is>
          <t>Hovädzia štvrť</t>
        </is>
      </c>
      <c r="C10" s="53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45" t="inlineStr">
        <is>
          <t>Kuracie prsia</t>
        </is>
      </c>
      <c r="C11" s="46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2" t="inlineStr">
        <is>
          <t>Bôčik</t>
        </is>
      </c>
      <c r="C12" s="53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45" t="inlineStr">
        <is>
          <t>Plece</t>
        </is>
      </c>
      <c r="C13" s="46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2" t="n"/>
      <c r="C14" s="53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45" t="n"/>
      <c r="C15" s="46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2" t="n"/>
      <c r="C16" s="53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45" t="n"/>
      <c r="C17" s="46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2" t="n"/>
      <c r="C18" s="53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45" t="n"/>
      <c r="C19" s="46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2" t="n"/>
      <c r="C20" s="53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45" t="n"/>
      <c r="C21" s="46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2" t="n"/>
      <c r="C22" s="53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45" t="n"/>
      <c r="C23" s="46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2" t="n"/>
      <c r="C24" s="53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45" t="n"/>
      <c r="C25" s="46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2" t="n"/>
      <c r="C26" s="53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>
      <c r="B27" s="55" t="inlineStr">
        <is>
          <t>Orez a strata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23E3E"/>
    <outlinePr summaryBelow="1" summaryRight="1"/>
    <pageSetUpPr/>
  </sheetPr>
  <dimension ref="B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~25 % tržieb.</t>
        </is>
      </c>
    </row>
    <row r="9" ht="30" customHeight="1">
      <c r="B9" s="15" t="inlineStr">
        <is>
          <t>Pozícia (mäsiar / predavač)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8" t="n"/>
      <c r="C10" s="18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58" t="n"/>
      <c r="C11" s="18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8" t="n"/>
      <c r="C12" s="18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58" t="n"/>
      <c r="C13" s="18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8" t="n"/>
      <c r="C14" s="18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58" t="n"/>
      <c r="C15" s="18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8" t="n"/>
      <c r="C16" s="18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58" t="n"/>
      <c r="C17" s="18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8" t="n"/>
      <c r="C18" s="18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58" t="n"/>
      <c r="C19" s="18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8" t="n"/>
      <c r="C20" s="18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58" t="n"/>
      <c r="C21" s="18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8" t="n"/>
      <c r="C22" s="18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58" t="n"/>
      <c r="C23" s="18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8" t="n"/>
      <c r="C24" s="18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58" t="n"/>
      <c r="C25" s="18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8" t="n"/>
      <c r="C26" s="18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 ht="19" customHeight="1">
      <c r="B27" s="58" t="n"/>
      <c r="C27" s="18" t="n"/>
      <c r="D27" s="18" t="n"/>
      <c r="E27" s="18" t="n"/>
      <c r="F27" s="18" t="n"/>
      <c r="G27" s="18" t="n"/>
      <c r="H27" s="47" t="n"/>
      <c r="I27" s="49">
        <f>IF(OR(G27="",H27=""),"",G27*H27)</f>
        <v/>
      </c>
    </row>
    <row r="28" ht="19" customHeight="1">
      <c r="B28" s="58" t="n"/>
      <c r="C28" s="18" t="n"/>
      <c r="D28" s="18" t="n"/>
      <c r="E28" s="18" t="n"/>
      <c r="F28" s="18" t="n"/>
      <c r="G28" s="18" t="n"/>
      <c r="H28" s="47" t="n"/>
      <c r="I28" s="49">
        <f>IF(OR(G28="",H28=""),"",G28*H28)</f>
        <v/>
      </c>
    </row>
    <row r="29" ht="19" customHeight="1">
      <c r="B29" s="58" t="n"/>
      <c r="C29" s="18" t="n"/>
      <c r="D29" s="18" t="n"/>
      <c r="E29" s="18" t="n"/>
      <c r="F29" s="18" t="n"/>
      <c r="G29" s="18" t="n"/>
      <c r="H29" s="47" t="n"/>
      <c r="I29" s="49">
        <f>IF(OR(G29="",H29=""),"",G29*H29)</f>
        <v/>
      </c>
    </row>
    <row r="30">
      <c r="B30" s="55" t="inlineStr">
        <is>
          <t>Mzdové náklady spolu</t>
        </is>
      </c>
      <c r="I30" s="42">
        <f>SUM(I10:I29)</f>
        <v/>
      </c>
    </row>
    <row r="31">
      <c r="B31" s="55" t="inlineStr">
        <is>
          <t>Podiel miezd na tržbách</t>
        </is>
      </c>
      <c r="I31" s="5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0.25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A2E2E"/>
    <outlinePr summaryBelow="1" summaryRight="1"/>
    <pageSetUpPr/>
  </sheetPr>
  <dimension ref="B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3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pultu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faktúry veľkoodber.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59" t="n"/>
      <c r="C9" s="47" t="n"/>
      <c r="D9" s="47" t="n"/>
      <c r="E9" s="47" t="n"/>
      <c r="F9" s="47" t="n"/>
      <c r="G9" s="49">
        <f>IF(AND(D9="",E9=""),"",D9+E9)</f>
        <v/>
      </c>
      <c r="H9" s="49">
        <f>IF(OR(C9="",G9=""),"",G9-C9)</f>
        <v/>
      </c>
      <c r="I9" s="18" t="n"/>
    </row>
    <row r="10" ht="19" customHeight="1">
      <c r="B10" s="59" t="n"/>
      <c r="C10" s="47" t="n"/>
      <c r="D10" s="47" t="n"/>
      <c r="E10" s="47" t="n"/>
      <c r="F10" s="47" t="n"/>
      <c r="G10" s="49">
        <f>IF(AND(D10="",E10=""),"",D10+E10)</f>
        <v/>
      </c>
      <c r="H10" s="49">
        <f>IF(OR(C10="",G10=""),"",G10-C10)</f>
        <v/>
      </c>
      <c r="I10" s="18" t="n"/>
    </row>
    <row r="11" ht="19" customHeight="1">
      <c r="B11" s="59" t="n"/>
      <c r="C11" s="47" t="n"/>
      <c r="D11" s="47" t="n"/>
      <c r="E11" s="47" t="n"/>
      <c r="F11" s="47" t="n"/>
      <c r="G11" s="49">
        <f>IF(AND(D11="",E11=""),"",D11+E11)</f>
        <v/>
      </c>
      <c r="H11" s="49">
        <f>IF(OR(C11="",G11=""),"",G11-C11)</f>
        <v/>
      </c>
      <c r="I11" s="18" t="n"/>
    </row>
    <row r="12" ht="19" customHeight="1">
      <c r="B12" s="59" t="n"/>
      <c r="C12" s="47" t="n"/>
      <c r="D12" s="47" t="n"/>
      <c r="E12" s="47" t="n"/>
      <c r="F12" s="47" t="n"/>
      <c r="G12" s="49">
        <f>IF(AND(D12="",E12=""),"",D12+E12)</f>
        <v/>
      </c>
      <c r="H12" s="49">
        <f>IF(OR(C12="",G12=""),"",G12-C12)</f>
        <v/>
      </c>
      <c r="I12" s="18" t="n"/>
    </row>
    <row r="13" ht="19" customHeight="1">
      <c r="B13" s="59" t="n"/>
      <c r="C13" s="47" t="n"/>
      <c r="D13" s="47" t="n"/>
      <c r="E13" s="47" t="n"/>
      <c r="F13" s="47" t="n"/>
      <c r="G13" s="49">
        <f>IF(AND(D13="",E13=""),"",D13+E13)</f>
        <v/>
      </c>
      <c r="H13" s="49">
        <f>IF(OR(C13="",G13=""),"",G13-C13)</f>
        <v/>
      </c>
      <c r="I13" s="18" t="n"/>
    </row>
    <row r="14" ht="19" customHeight="1">
      <c r="B14" s="59" t="n"/>
      <c r="C14" s="47" t="n"/>
      <c r="D14" s="47" t="n"/>
      <c r="E14" s="47" t="n"/>
      <c r="F14" s="47" t="n"/>
      <c r="G14" s="49">
        <f>IF(AND(D14="",E14=""),"",D14+E14)</f>
        <v/>
      </c>
      <c r="H14" s="49">
        <f>IF(OR(C14="",G14=""),"",G14-C14)</f>
        <v/>
      </c>
      <c r="I14" s="18" t="n"/>
    </row>
    <row r="15" ht="19" customHeight="1">
      <c r="B15" s="59" t="n"/>
      <c r="C15" s="47" t="n"/>
      <c r="D15" s="47" t="n"/>
      <c r="E15" s="47" t="n"/>
      <c r="F15" s="47" t="n"/>
      <c r="G15" s="49">
        <f>IF(AND(D15="",E15=""),"",D15+E15)</f>
        <v/>
      </c>
      <c r="H15" s="49">
        <f>IF(OR(C15="",G15=""),"",G15-C15)</f>
        <v/>
      </c>
      <c r="I15" s="18" t="n"/>
    </row>
    <row r="16" ht="19" customHeight="1">
      <c r="B16" s="59" t="n"/>
      <c r="C16" s="47" t="n"/>
      <c r="D16" s="47" t="n"/>
      <c r="E16" s="47" t="n"/>
      <c r="F16" s="47" t="n"/>
      <c r="G16" s="49">
        <f>IF(AND(D16="",E16=""),"",D16+E16)</f>
        <v/>
      </c>
      <c r="H16" s="49">
        <f>IF(OR(C16="",G16=""),"",G16-C16)</f>
        <v/>
      </c>
      <c r="I16" s="18" t="n"/>
    </row>
    <row r="17" ht="19" customHeight="1">
      <c r="B17" s="59" t="n"/>
      <c r="C17" s="47" t="n"/>
      <c r="D17" s="47" t="n"/>
      <c r="E17" s="47" t="n"/>
      <c r="F17" s="47" t="n"/>
      <c r="G17" s="49">
        <f>IF(AND(D17="",E17=""),"",D17+E17)</f>
        <v/>
      </c>
      <c r="H17" s="49">
        <f>IF(OR(C17="",G17=""),"",G17-C17)</f>
        <v/>
      </c>
      <c r="I17" s="18" t="n"/>
    </row>
    <row r="18" ht="19" customHeight="1">
      <c r="B18" s="59" t="n"/>
      <c r="C18" s="47" t="n"/>
      <c r="D18" s="47" t="n"/>
      <c r="E18" s="47" t="n"/>
      <c r="F18" s="47" t="n"/>
      <c r="G18" s="49">
        <f>IF(AND(D18="",E18=""),"",D18+E18)</f>
        <v/>
      </c>
      <c r="H18" s="49">
        <f>IF(OR(C18="",G18=""),"",G18-C18)</f>
        <v/>
      </c>
      <c r="I18" s="18" t="n"/>
    </row>
    <row r="19" ht="19" customHeight="1">
      <c r="B19" s="59" t="n"/>
      <c r="C19" s="47" t="n"/>
      <c r="D19" s="47" t="n"/>
      <c r="E19" s="47" t="n"/>
      <c r="F19" s="47" t="n"/>
      <c r="G19" s="49">
        <f>IF(AND(D19="",E19=""),"",D19+E19)</f>
        <v/>
      </c>
      <c r="H19" s="49">
        <f>IF(OR(C19="",G19=""),"",G19-C19)</f>
        <v/>
      </c>
      <c r="I19" s="18" t="n"/>
    </row>
    <row r="20" ht="19" customHeight="1">
      <c r="B20" s="59" t="n"/>
      <c r="C20" s="47" t="n"/>
      <c r="D20" s="47" t="n"/>
      <c r="E20" s="47" t="n"/>
      <c r="F20" s="47" t="n"/>
      <c r="G20" s="49">
        <f>IF(AND(D20="",E20=""),"",D20+E20)</f>
        <v/>
      </c>
      <c r="H20" s="49">
        <f>IF(OR(C20="",G20=""),"",G20-C20)</f>
        <v/>
      </c>
      <c r="I20" s="18" t="n"/>
    </row>
    <row r="21" ht="19" customHeight="1">
      <c r="B21" s="59" t="n"/>
      <c r="C21" s="47" t="n"/>
      <c r="D21" s="47" t="n"/>
      <c r="E21" s="47" t="n"/>
      <c r="F21" s="47" t="n"/>
      <c r="G21" s="49">
        <f>IF(AND(D21="",E21=""),"",D21+E21)</f>
        <v/>
      </c>
      <c r="H21" s="49">
        <f>IF(OR(C21="",G21=""),"",G21-C21)</f>
        <v/>
      </c>
      <c r="I21" s="18" t="n"/>
    </row>
    <row r="22" ht="19" customHeight="1">
      <c r="B22" s="59" t="n"/>
      <c r="C22" s="47" t="n"/>
      <c r="D22" s="47" t="n"/>
      <c r="E22" s="47" t="n"/>
      <c r="F22" s="47" t="n"/>
      <c r="G22" s="49">
        <f>IF(AND(D22="",E22=""),"",D22+E22)</f>
        <v/>
      </c>
      <c r="H22" s="49">
        <f>IF(OR(C22="",G22=""),"",G22-C22)</f>
        <v/>
      </c>
      <c r="I22" s="18" t="n"/>
    </row>
    <row r="23" ht="19" customHeight="1">
      <c r="B23" s="59" t="n"/>
      <c r="C23" s="47" t="n"/>
      <c r="D23" s="47" t="n"/>
      <c r="E23" s="47" t="n"/>
      <c r="F23" s="47" t="n"/>
      <c r="G23" s="49">
        <f>IF(AND(D23="",E23=""),"",D23+E23)</f>
        <v/>
      </c>
      <c r="H23" s="49">
        <f>IF(OR(C23="",G23=""),"",G23-C23)</f>
        <v/>
      </c>
      <c r="I23" s="18" t="n"/>
    </row>
    <row r="24" ht="19" customHeight="1">
      <c r="B24" s="59" t="n"/>
      <c r="C24" s="47" t="n"/>
      <c r="D24" s="47" t="n"/>
      <c r="E24" s="47" t="n"/>
      <c r="F24" s="47" t="n"/>
      <c r="G24" s="49">
        <f>IF(AND(D24="",E24=""),"",D24+E24)</f>
        <v/>
      </c>
      <c r="H24" s="49">
        <f>IF(OR(C24="",G24=""),"",G24-C24)</f>
        <v/>
      </c>
      <c r="I24" s="18" t="n"/>
    </row>
    <row r="25" ht="19" customHeight="1">
      <c r="B25" s="59" t="n"/>
      <c r="C25" s="47" t="n"/>
      <c r="D25" s="47" t="n"/>
      <c r="E25" s="47" t="n"/>
      <c r="F25" s="47" t="n"/>
      <c r="G25" s="49">
        <f>IF(AND(D25="",E25=""),"",D25+E25)</f>
        <v/>
      </c>
      <c r="H25" s="49">
        <f>IF(OR(C25="",G25=""),"",G25-C25)</f>
        <v/>
      </c>
      <c r="I25" s="18" t="n"/>
    </row>
    <row r="26" ht="19" customHeight="1">
      <c r="B26" s="59" t="n"/>
      <c r="C26" s="47" t="n"/>
      <c r="D26" s="47" t="n"/>
      <c r="E26" s="47" t="n"/>
      <c r="F26" s="47" t="n"/>
      <c r="G26" s="49">
        <f>IF(AND(D26="",E26=""),"",D26+E26)</f>
        <v/>
      </c>
      <c r="H26" s="49">
        <f>IF(OR(C26="",G26=""),"",G26-C26)</f>
        <v/>
      </c>
      <c r="I26" s="18" t="n"/>
    </row>
    <row r="27" ht="19" customHeight="1">
      <c r="B27" s="59" t="n"/>
      <c r="C27" s="47" t="n"/>
      <c r="D27" s="47" t="n"/>
      <c r="E27" s="47" t="n"/>
      <c r="F27" s="47" t="n"/>
      <c r="G27" s="49">
        <f>IF(AND(D27="",E27=""),"",D27+E27)</f>
        <v/>
      </c>
      <c r="H27" s="49">
        <f>IF(OR(C27="",G27=""),"",G27-C27)</f>
        <v/>
      </c>
      <c r="I27" s="18" t="n"/>
    </row>
    <row r="28" ht="19" customHeight="1">
      <c r="B28" s="59" t="n"/>
      <c r="C28" s="47" t="n"/>
      <c r="D28" s="47" t="n"/>
      <c r="E28" s="47" t="n"/>
      <c r="F28" s="47" t="n"/>
      <c r="G28" s="49">
        <f>IF(AND(D28="",E28=""),"",D28+E28)</f>
        <v/>
      </c>
      <c r="H28" s="49">
        <f>IF(OR(C28="",G28=""),"",G28-C28)</f>
        <v/>
      </c>
      <c r="I28" s="18" t="n"/>
    </row>
    <row r="29" ht="19" customHeight="1">
      <c r="B29" s="59" t="n"/>
      <c r="C29" s="47" t="n"/>
      <c r="D29" s="47" t="n"/>
      <c r="E29" s="47" t="n"/>
      <c r="F29" s="47" t="n"/>
      <c r="G29" s="49">
        <f>IF(AND(D29="",E29=""),"",D29+E29)</f>
        <v/>
      </c>
      <c r="H29" s="49">
        <f>IF(OR(C29="",G29=""),"",G29-C29)</f>
        <v/>
      </c>
      <c r="I29" s="18" t="n"/>
    </row>
    <row r="30" ht="19" customHeight="1">
      <c r="B30" s="59" t="n"/>
      <c r="C30" s="47" t="n"/>
      <c r="D30" s="47" t="n"/>
      <c r="E30" s="47" t="n"/>
      <c r="F30" s="47" t="n"/>
      <c r="G30" s="49">
        <f>IF(AND(D30="",E30=""),"",D30+E30)</f>
        <v/>
      </c>
      <c r="H30" s="49">
        <f>IF(OR(C30="",G30=""),"",G30-C30)</f>
        <v/>
      </c>
      <c r="I30" s="18" t="n"/>
    </row>
    <row r="31" ht="19" customHeight="1">
      <c r="B31" s="59" t="n"/>
      <c r="C31" s="47" t="n"/>
      <c r="D31" s="47" t="n"/>
      <c r="E31" s="47" t="n"/>
      <c r="F31" s="47" t="n"/>
      <c r="G31" s="49">
        <f>IF(AND(D31="",E31=""),"",D31+E31)</f>
        <v/>
      </c>
      <c r="H31" s="49">
        <f>IF(OR(C31="",G31=""),"",G31-C31)</f>
        <v/>
      </c>
      <c r="I31" s="18" t="n"/>
    </row>
    <row r="32" ht="19" customHeight="1">
      <c r="B32" s="59" t="n"/>
      <c r="C32" s="47" t="n"/>
      <c r="D32" s="47" t="n"/>
      <c r="E32" s="47" t="n"/>
      <c r="F32" s="47" t="n"/>
      <c r="G32" s="49">
        <f>IF(AND(D32="",E32=""),"",D32+E32)</f>
        <v/>
      </c>
      <c r="H32" s="49">
        <f>IF(OR(C32="",G32=""),"",G32-C32)</f>
        <v/>
      </c>
      <c r="I32" s="18" t="n"/>
    </row>
    <row r="33" ht="19" customHeight="1">
      <c r="B33" s="59" t="n"/>
      <c r="C33" s="47" t="n"/>
      <c r="D33" s="47" t="n"/>
      <c r="E33" s="47" t="n"/>
      <c r="F33" s="47" t="n"/>
      <c r="G33" s="49">
        <f>IF(AND(D33="",E33=""),"",D33+E33)</f>
        <v/>
      </c>
      <c r="H33" s="49">
        <f>IF(OR(C33="",G33=""),"",G33-C33)</f>
        <v/>
      </c>
      <c r="I33" s="18" t="n"/>
    </row>
    <row r="34" ht="19" customHeight="1">
      <c r="B34" s="59" t="n"/>
      <c r="C34" s="47" t="n"/>
      <c r="D34" s="47" t="n"/>
      <c r="E34" s="47" t="n"/>
      <c r="F34" s="47" t="n"/>
      <c r="G34" s="49">
        <f>IF(AND(D34="",E34=""),"",D34+E34)</f>
        <v/>
      </c>
      <c r="H34" s="49">
        <f>IF(OR(C34="",G34=""),"",G34-C34)</f>
        <v/>
      </c>
      <c r="I34" s="18" t="n"/>
    </row>
    <row r="35" ht="19" customHeight="1">
      <c r="B35" s="59" t="n"/>
      <c r="C35" s="47" t="n"/>
      <c r="D35" s="47" t="n"/>
      <c r="E35" s="47" t="n"/>
      <c r="F35" s="47" t="n"/>
      <c r="G35" s="49">
        <f>IF(AND(D35="",E35=""),"",D35+E35)</f>
        <v/>
      </c>
      <c r="H35" s="49">
        <f>IF(OR(C35="",G35=""),"",G35-C35)</f>
        <v/>
      </c>
      <c r="I35" s="18" t="n"/>
    </row>
    <row r="36" ht="19" customHeight="1">
      <c r="B36" s="59" t="n"/>
      <c r="C36" s="47" t="n"/>
      <c r="D36" s="47" t="n"/>
      <c r="E36" s="47" t="n"/>
      <c r="F36" s="47" t="n"/>
      <c r="G36" s="49">
        <f>IF(AND(D36="",E36=""),"",D36+E36)</f>
        <v/>
      </c>
      <c r="H36" s="49">
        <f>IF(OR(C36="",G36=""),"",G36-C36)</f>
        <v/>
      </c>
      <c r="I36" s="18" t="n"/>
    </row>
    <row r="37" ht="19" customHeight="1">
      <c r="B37" s="59" t="n"/>
      <c r="C37" s="47" t="n"/>
      <c r="D37" s="47" t="n"/>
      <c r="E37" s="47" t="n"/>
      <c r="F37" s="47" t="n"/>
      <c r="G37" s="49">
        <f>IF(AND(D37="",E37=""),"",D37+E37)</f>
        <v/>
      </c>
      <c r="H37" s="49">
        <f>IF(OR(C37="",G37=""),"",G37-C37)</f>
        <v/>
      </c>
      <c r="I37" s="18" t="n"/>
    </row>
    <row r="38" ht="19" customHeight="1">
      <c r="B38" s="59" t="n"/>
      <c r="C38" s="47" t="n"/>
      <c r="D38" s="47" t="n"/>
      <c r="E38" s="47" t="n"/>
      <c r="F38" s="47" t="n"/>
      <c r="G38" s="49">
        <f>IF(AND(D38="",E38=""),"",D38+E38)</f>
        <v/>
      </c>
      <c r="H38" s="49">
        <f>IF(OR(C38="",G38=""),"",G38-C38)</f>
        <v/>
      </c>
      <c r="I38" s="18" t="n"/>
    </row>
    <row r="39" ht="19" customHeight="1">
      <c r="B39" s="59" t="n"/>
      <c r="C39" s="47" t="n"/>
      <c r="D39" s="47" t="n"/>
      <c r="E39" s="47" t="n"/>
      <c r="F39" s="47" t="n"/>
      <c r="G39" s="49">
        <f>IF(AND(D39="",E39=""),"",D39+E39)</f>
        <v/>
      </c>
      <c r="H39" s="49">
        <f>IF(OR(C39="",G39=""),"",G39-C39)</f>
        <v/>
      </c>
      <c r="I39" s="18" t="n"/>
    </row>
    <row r="40">
      <c r="B40" s="55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B1A1A"/>
    <outlinePr summaryBelow="1" summaryRight="1"/>
    <pageSetUpPr/>
  </sheetPr>
  <dimension ref="B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34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 (HACCP)</t>
        </is>
      </c>
      <c r="G7" s="15" t="inlineStr">
        <is>
          <t>Krížová kontaminácia</t>
        </is>
      </c>
      <c r="H7" s="15" t="inlineStr">
        <is>
          <t>Chladiaci reťazec</t>
        </is>
      </c>
      <c r="I7" s="15" t="inlineStr">
        <is>
          <t>Ostré nástroje / píla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8" t="n"/>
      <c r="C8" s="60" t="n"/>
      <c r="D8" s="60" t="n"/>
      <c r="E8" s="60" t="n"/>
      <c r="F8" s="60" t="n"/>
      <c r="G8" s="60" t="n"/>
      <c r="H8" s="60" t="n"/>
      <c r="I8" s="60" t="n"/>
      <c r="J8" s="60" t="n"/>
      <c r="K8" s="46" t="n"/>
    </row>
    <row r="9" ht="19" customHeight="1">
      <c r="B9" s="58" t="n"/>
      <c r="C9" s="60" t="n"/>
      <c r="D9" s="60" t="n"/>
      <c r="E9" s="60" t="n"/>
      <c r="F9" s="60" t="n"/>
      <c r="G9" s="60" t="n"/>
      <c r="H9" s="60" t="n"/>
      <c r="I9" s="60" t="n"/>
      <c r="J9" s="60" t="n"/>
      <c r="K9" s="53" t="n"/>
    </row>
    <row r="10" ht="19" customHeight="1">
      <c r="B10" s="58" t="n"/>
      <c r="C10" s="60" t="n"/>
      <c r="D10" s="60" t="n"/>
      <c r="E10" s="60" t="n"/>
      <c r="F10" s="60" t="n"/>
      <c r="G10" s="60" t="n"/>
      <c r="H10" s="60" t="n"/>
      <c r="I10" s="60" t="n"/>
      <c r="J10" s="60" t="n"/>
      <c r="K10" s="46" t="n"/>
    </row>
    <row r="11" ht="19" customHeight="1">
      <c r="B11" s="58" t="n"/>
      <c r="C11" s="60" t="n"/>
      <c r="D11" s="60" t="n"/>
      <c r="E11" s="60" t="n"/>
      <c r="F11" s="60" t="n"/>
      <c r="G11" s="60" t="n"/>
      <c r="H11" s="60" t="n"/>
      <c r="I11" s="60" t="n"/>
      <c r="J11" s="60" t="n"/>
      <c r="K11" s="53" t="n"/>
    </row>
    <row r="12" ht="19" customHeight="1">
      <c r="B12" s="58" t="n"/>
      <c r="C12" s="60" t="n"/>
      <c r="D12" s="60" t="n"/>
      <c r="E12" s="60" t="n"/>
      <c r="F12" s="60" t="n"/>
      <c r="G12" s="60" t="n"/>
      <c r="H12" s="60" t="n"/>
      <c r="I12" s="60" t="n"/>
      <c r="J12" s="60" t="n"/>
      <c r="K12" s="46" t="n"/>
    </row>
    <row r="13" ht="19" customHeight="1">
      <c r="B13" s="58" t="n"/>
      <c r="C13" s="60" t="n"/>
      <c r="D13" s="60" t="n"/>
      <c r="E13" s="60" t="n"/>
      <c r="F13" s="60" t="n"/>
      <c r="G13" s="60" t="n"/>
      <c r="H13" s="60" t="n"/>
      <c r="I13" s="60" t="n"/>
      <c r="J13" s="60" t="n"/>
      <c r="K13" s="53" t="n"/>
    </row>
    <row r="14" ht="19" customHeight="1">
      <c r="B14" s="58" t="n"/>
      <c r="C14" s="60" t="n"/>
      <c r="D14" s="60" t="n"/>
      <c r="E14" s="60" t="n"/>
      <c r="F14" s="60" t="n"/>
      <c r="G14" s="60" t="n"/>
      <c r="H14" s="60" t="n"/>
      <c r="I14" s="60" t="n"/>
      <c r="J14" s="60" t="n"/>
      <c r="K14" s="46" t="n"/>
    </row>
    <row r="15" ht="19" customHeight="1">
      <c r="B15" s="58" t="n"/>
      <c r="C15" s="60" t="n"/>
      <c r="D15" s="60" t="n"/>
      <c r="E15" s="60" t="n"/>
      <c r="F15" s="60" t="n"/>
      <c r="G15" s="60" t="n"/>
      <c r="H15" s="60" t="n"/>
      <c r="I15" s="60" t="n"/>
      <c r="J15" s="60" t="n"/>
      <c r="K15" s="53" t="n"/>
    </row>
    <row r="16" ht="19" customHeight="1">
      <c r="B16" s="58" t="n"/>
      <c r="C16" s="60" t="n"/>
      <c r="D16" s="60" t="n"/>
      <c r="E16" s="60" t="n"/>
      <c r="F16" s="60" t="n"/>
      <c r="G16" s="60" t="n"/>
      <c r="H16" s="60" t="n"/>
      <c r="I16" s="60" t="n"/>
      <c r="J16" s="60" t="n"/>
      <c r="K16" s="46" t="n"/>
    </row>
    <row r="17" ht="19" customHeight="1">
      <c r="B17" s="58" t="n"/>
      <c r="C17" s="60" t="n"/>
      <c r="D17" s="60" t="n"/>
      <c r="E17" s="60" t="n"/>
      <c r="F17" s="60" t="n"/>
      <c r="G17" s="60" t="n"/>
      <c r="H17" s="60" t="n"/>
      <c r="I17" s="60" t="n"/>
      <c r="J17" s="60" t="n"/>
      <c r="K17" s="53" t="n"/>
    </row>
    <row r="18" ht="19" customHeight="1">
      <c r="B18" s="58" t="n"/>
      <c r="C18" s="60" t="n"/>
      <c r="D18" s="60" t="n"/>
      <c r="E18" s="60" t="n"/>
      <c r="F18" s="60" t="n"/>
      <c r="G18" s="60" t="n"/>
      <c r="H18" s="60" t="n"/>
      <c r="I18" s="60" t="n"/>
      <c r="J18" s="60" t="n"/>
      <c r="K18" s="46" t="n"/>
    </row>
    <row r="19" ht="19" customHeight="1">
      <c r="B19" s="58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53" t="n"/>
    </row>
    <row r="20" ht="19" customHeight="1">
      <c r="B20" s="58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46" t="n"/>
    </row>
    <row r="21" ht="19" customHeight="1">
      <c r="B21" s="58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53" t="n"/>
    </row>
    <row r="22" ht="19" customHeight="1">
      <c r="B22" s="58" t="n"/>
      <c r="C22" s="60" t="n"/>
      <c r="D22" s="60" t="n"/>
      <c r="E22" s="60" t="n"/>
      <c r="F22" s="60" t="n"/>
      <c r="G22" s="60" t="n"/>
      <c r="H22" s="60" t="n"/>
      <c r="I22" s="60" t="n"/>
      <c r="J22" s="60" t="n"/>
      <c r="K22" s="46" t="n"/>
    </row>
    <row r="23" ht="19" customHeight="1">
      <c r="B23" s="58" t="n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53" t="n"/>
    </row>
    <row r="25" ht="30" customHeight="1">
      <c r="B25" s="61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Mäsiarstvo (SK)</dc:title>
  <dcterms:created xsi:type="dcterms:W3CDTF">2026-05-31T10:23:27Z</dcterms:created>
  <dcterms:modified xsi:type="dcterms:W3CDTF">2026-05-31T10:23:27Z</dcterms:modified>
</cp:coreProperties>
</file>