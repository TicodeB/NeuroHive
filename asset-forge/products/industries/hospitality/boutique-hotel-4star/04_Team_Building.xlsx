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&amp; Payroll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0.0%"/>
    <numFmt numFmtId="166" formatCode="#,##0\ &quot;€&quot;"/>
    <numFmt numFmtId="167" formatCode="0.0"/>
    <numFmt numFmtId="168" formatCode="DD/MM/YYYY"/>
  </numFmts>
  <fonts count="15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i val="1"/>
      <color rgb="006B7280"/>
      <sz val="9"/>
    </font>
    <font>
      <name val="Calibri"/>
      <b val="1"/>
      <color rgb="002D6CDF"/>
      <sz val="9.5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5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12" fillId="5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165" fontId="0" fillId="3" borderId="2" pivotButton="0" quotePrefix="0" xfId="0"/>
    <xf numFmtId="0" fontId="8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center" vertical="center"/>
    </xf>
    <xf numFmtId="167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6" fontId="8" fillId="4" borderId="3" applyAlignment="1" pivotButton="0" quotePrefix="0" xfId="0">
      <alignment horizontal="center" vertical="center"/>
    </xf>
    <xf numFmtId="166" fontId="6" fillId="4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7" fontId="6" fillId="4" borderId="3" pivotButton="0" quotePrefix="0" xfId="0"/>
    <xf numFmtId="166" fontId="6" fillId="4" borderId="3" pivotButton="0" quotePrefix="0" xfId="0"/>
    <xf numFmtId="0" fontId="6" fillId="0" borderId="0" applyAlignment="1" pivotButton="0" quotePrefix="0" xfId="0">
      <alignment horizontal="left" vertical="center"/>
    </xf>
    <xf numFmtId="165" fontId="6" fillId="4" borderId="3" pivotButton="0" quotePrefix="0" xfId="0"/>
    <xf numFmtId="168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4" fontId="6" fillId="4" borderId="3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8.6" customWidth="1" min="2" max="2"/>
    <col width="14" customWidth="1" min="3" max="3"/>
    <col width="12" customWidth="1" min="4" max="4"/>
    <col width="14" customWidth="1" min="5" max="5"/>
    <col width="14.2" customWidth="1" min="6" max="6"/>
    <col width="14" customWidth="1" min="7" max="7"/>
    <col width="16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Team Building</t>
        </is>
      </c>
    </row>
    <row r="2" ht="20" customHeight="1">
      <c r="B2" s="2" t="inlineStr">
        <is>
          <t>Phase 4 · Org design, hiring tracker &amp; payroll budget (PRSI/pension)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4" customHeight="1">
      <c r="B4" s="4" t="inlineStr">
        <is>
          <t>STAFFING PLAN &amp; PAYROLL BUDGET</t>
        </is>
      </c>
      <c r="C4" s="5" t="n"/>
      <c r="D4" s="5" t="n"/>
      <c r="E4" s="5" t="n"/>
      <c r="F4" s="5" t="n"/>
      <c r="G4" s="5" t="n"/>
      <c r="H4" s="5" t="n"/>
    </row>
    <row r="5" ht="30" customHeight="1">
      <c r="B5" s="6" t="inlineStr">
        <is>
          <t xml:space="preserve">  Employer PRSI ~11.05% and pension ~5% are added on gross. Total payroll should land near the Assumptions payroll % of revenue.</t>
        </is>
      </c>
    </row>
    <row r="6" ht="30" customHeight="1">
      <c r="B6" s="7" t="inlineStr">
        <is>
          <t>Role</t>
        </is>
      </c>
      <c r="C6" s="7" t="inlineStr">
        <is>
          <t>Dept</t>
        </is>
      </c>
      <c r="D6" s="7" t="inlineStr">
        <is>
          <t>FTE</t>
        </is>
      </c>
      <c r="E6" s="7" t="inlineStr">
        <is>
          <t>Gross €/yr</t>
        </is>
      </c>
      <c r="F6" s="7" t="inlineStr">
        <is>
          <t>PRSI+pension</t>
        </is>
      </c>
      <c r="G6" s="7" t="inlineStr">
        <is>
          <t>Total cost €</t>
        </is>
      </c>
      <c r="H6" s="7" t="inlineStr">
        <is>
          <t>Notes</t>
        </is>
      </c>
    </row>
    <row r="7">
      <c r="B7" s="8" t="inlineStr">
        <is>
          <t>On-cost loading (PRSI+pension)</t>
        </is>
      </c>
      <c r="F7" s="9" t="n">
        <v>0.16</v>
      </c>
    </row>
    <row r="8" ht="19" customHeight="1">
      <c r="B8" s="10" t="inlineStr">
        <is>
          <t>General Manager</t>
        </is>
      </c>
      <c r="C8" s="11" t="inlineStr">
        <is>
          <t>Leadership</t>
        </is>
      </c>
      <c r="D8" s="12" t="n">
        <v>1</v>
      </c>
      <c r="E8" s="13" t="n">
        <v>55000</v>
      </c>
      <c r="F8" s="14">
        <f>D8*E8*F7</f>
        <v/>
      </c>
      <c r="G8" s="15">
        <f>D8*E8*(1+F7)</f>
        <v/>
      </c>
      <c r="H8" s="16" t="n"/>
    </row>
    <row r="9" ht="19" customHeight="1">
      <c r="B9" s="17" t="inlineStr">
        <is>
          <t>Front Office Manager</t>
        </is>
      </c>
      <c r="C9" s="18" t="inlineStr">
        <is>
          <t>Front office</t>
        </is>
      </c>
      <c r="D9" s="12" t="n">
        <v>1</v>
      </c>
      <c r="E9" s="13" t="n">
        <v>38000</v>
      </c>
      <c r="F9" s="14">
        <f>D9*E9*F7</f>
        <v/>
      </c>
      <c r="G9" s="15">
        <f>D9*E9*(1+F7)</f>
        <v/>
      </c>
      <c r="H9" s="16" t="n"/>
    </row>
    <row r="10" ht="19" customHeight="1">
      <c r="B10" s="10" t="inlineStr">
        <is>
          <t>Receptionist</t>
        </is>
      </c>
      <c r="C10" s="11" t="inlineStr">
        <is>
          <t>Front office</t>
        </is>
      </c>
      <c r="D10" s="12" t="n">
        <v>2.5</v>
      </c>
      <c r="E10" s="13" t="n">
        <v>30000</v>
      </c>
      <c r="F10" s="14">
        <f>D10*E10*F7</f>
        <v/>
      </c>
      <c r="G10" s="15">
        <f>D10*E10*(1+F7)</f>
        <v/>
      </c>
      <c r="H10" s="16" t="n"/>
    </row>
    <row r="11" ht="19" customHeight="1">
      <c r="B11" s="17" t="inlineStr">
        <is>
          <t>Head Housekeeper</t>
        </is>
      </c>
      <c r="C11" s="18" t="inlineStr">
        <is>
          <t>Housekeeping</t>
        </is>
      </c>
      <c r="D11" s="12" t="n">
        <v>1</v>
      </c>
      <c r="E11" s="13" t="n">
        <v>34000</v>
      </c>
      <c r="F11" s="14">
        <f>D11*E11*F7</f>
        <v/>
      </c>
      <c r="G11" s="15">
        <f>D11*E11*(1+F7)</f>
        <v/>
      </c>
      <c r="H11" s="16" t="n"/>
    </row>
    <row r="12" ht="19" customHeight="1">
      <c r="B12" s="10" t="inlineStr">
        <is>
          <t>Room Attendant</t>
        </is>
      </c>
      <c r="C12" s="11" t="inlineStr">
        <is>
          <t>Housekeeping</t>
        </is>
      </c>
      <c r="D12" s="12" t="n">
        <v>3</v>
      </c>
      <c r="E12" s="13" t="n">
        <v>27500</v>
      </c>
      <c r="F12" s="14">
        <f>D12*E12*F7</f>
        <v/>
      </c>
      <c r="G12" s="15">
        <f>D12*E12*(1+F7)</f>
        <v/>
      </c>
      <c r="H12" s="16" t="n"/>
    </row>
    <row r="13" ht="19" customHeight="1">
      <c r="B13" s="17" t="inlineStr">
        <is>
          <t>Head Chef</t>
        </is>
      </c>
      <c r="C13" s="18" t="inlineStr">
        <is>
          <t>F&amp;B</t>
        </is>
      </c>
      <c r="D13" s="12" t="n">
        <v>1</v>
      </c>
      <c r="E13" s="13" t="n">
        <v>48000</v>
      </c>
      <c r="F13" s="14">
        <f>D13*E13*F7</f>
        <v/>
      </c>
      <c r="G13" s="15">
        <f>D13*E13*(1+F7)</f>
        <v/>
      </c>
      <c r="H13" s="16" t="n"/>
    </row>
    <row r="14" ht="19" customHeight="1">
      <c r="B14" s="10" t="inlineStr">
        <is>
          <t>Chef de Partie / KP</t>
        </is>
      </c>
      <c r="C14" s="11" t="inlineStr">
        <is>
          <t>F&amp;B</t>
        </is>
      </c>
      <c r="D14" s="12" t="n">
        <v>2</v>
      </c>
      <c r="E14" s="13" t="n">
        <v>31000</v>
      </c>
      <c r="F14" s="14">
        <f>D14*E14*F7</f>
        <v/>
      </c>
      <c r="G14" s="15">
        <f>D14*E14*(1+F7)</f>
        <v/>
      </c>
      <c r="H14" s="16" t="n"/>
    </row>
    <row r="15" ht="19" customHeight="1">
      <c r="B15" s="17" t="inlineStr">
        <is>
          <t>F&amp;B / Bar Attendant</t>
        </is>
      </c>
      <c r="C15" s="18" t="inlineStr">
        <is>
          <t>F&amp;B</t>
        </is>
      </c>
      <c r="D15" s="12" t="n">
        <v>2.5</v>
      </c>
      <c r="E15" s="13" t="n">
        <v>28000</v>
      </c>
      <c r="F15" s="14">
        <f>D15*E15*F7</f>
        <v/>
      </c>
      <c r="G15" s="15">
        <f>D15*E15*(1+F7)</f>
        <v/>
      </c>
      <c r="H15" s="16" t="n"/>
    </row>
    <row r="16" ht="19" customHeight="1">
      <c r="B16" s="10" t="inlineStr">
        <is>
          <t>Maintenance</t>
        </is>
      </c>
      <c r="C16" s="11" t="inlineStr">
        <is>
          <t>Facilities</t>
        </is>
      </c>
      <c r="D16" s="12" t="n">
        <v>1</v>
      </c>
      <c r="E16" s="13" t="n">
        <v>36000</v>
      </c>
      <c r="F16" s="14">
        <f>D16*E16*F7</f>
        <v/>
      </c>
      <c r="G16" s="15">
        <f>D16*E16*(1+F7)</f>
        <v/>
      </c>
      <c r="H16" s="16" t="n"/>
    </row>
    <row r="17">
      <c r="B17" s="19" t="inlineStr">
        <is>
          <t>Total FTE / payroll</t>
        </is>
      </c>
      <c r="D17" s="20">
        <f>SUM(D8:D16)</f>
        <v/>
      </c>
      <c r="G17" s="21">
        <f>SUM(G8:G16)</f>
        <v/>
      </c>
    </row>
    <row r="18">
      <c r="B18" s="22" t="inlineStr">
        <is>
          <t>Payroll as % of revenue</t>
        </is>
      </c>
      <c r="G18" s="23">
        <f>IFERROR(G17/'Assumptions'!D11,0)</f>
        <v/>
      </c>
    </row>
    <row r="19"/>
    <row r="20" ht="24" customHeight="1">
      <c r="B20" s="4" t="inlineStr">
        <is>
          <t>RECRUITMENT TRACKER</t>
        </is>
      </c>
      <c r="C20" s="5" t="n"/>
      <c r="D20" s="5" t="n"/>
      <c r="E20" s="5" t="n"/>
      <c r="F20" s="5" t="n"/>
      <c r="G20" s="5" t="n"/>
      <c r="H20" s="5" t="n"/>
    </row>
    <row r="21" ht="30" customHeight="1">
      <c r="B21" s="7" t="inlineStr">
        <is>
          <t>Role</t>
        </is>
      </c>
      <c r="C21" s="7" t="inlineStr">
        <is>
          <t>Stage</t>
        </is>
      </c>
      <c r="D21" s="7" t="inlineStr">
        <is>
          <t>Candidate</t>
        </is>
      </c>
      <c r="E21" s="7" t="inlineStr">
        <is>
          <t>Interview score /10</t>
        </is>
      </c>
      <c r="F21" s="7" t="inlineStr">
        <is>
          <t>Offer status</t>
        </is>
      </c>
      <c r="G21" s="7" t="inlineStr">
        <is>
          <t>Start date</t>
        </is>
      </c>
      <c r="H21" s="7" t="inlineStr">
        <is>
          <t>Notes</t>
        </is>
      </c>
    </row>
    <row r="22" ht="19" customHeight="1">
      <c r="B22" s="10" t="inlineStr">
        <is>
          <t>General Manager</t>
        </is>
      </c>
      <c r="C22" s="16" t="n"/>
      <c r="D22" s="16" t="n"/>
      <c r="E22" s="12" t="n"/>
      <c r="F22" s="16" t="n"/>
      <c r="G22" s="24" t="n"/>
      <c r="H22" s="16" t="n"/>
    </row>
    <row r="23" ht="19" customHeight="1">
      <c r="B23" s="17" t="inlineStr">
        <is>
          <t>Front Office Manager</t>
        </is>
      </c>
      <c r="C23" s="16" t="n"/>
      <c r="D23" s="16" t="n"/>
      <c r="E23" s="12" t="n"/>
      <c r="F23" s="16" t="n"/>
      <c r="G23" s="24" t="n"/>
      <c r="H23" s="16" t="n"/>
    </row>
    <row r="24" ht="19" customHeight="1">
      <c r="B24" s="10" t="inlineStr">
        <is>
          <t>Receptionist</t>
        </is>
      </c>
      <c r="C24" s="16" t="n"/>
      <c r="D24" s="16" t="n"/>
      <c r="E24" s="12" t="n"/>
      <c r="F24" s="16" t="n"/>
      <c r="G24" s="24" t="n"/>
      <c r="H24" s="16" t="n"/>
    </row>
    <row r="25" ht="19" customHeight="1">
      <c r="B25" s="17" t="inlineStr">
        <is>
          <t>Head Housekeeper</t>
        </is>
      </c>
      <c r="C25" s="16" t="n"/>
      <c r="D25" s="16" t="n"/>
      <c r="E25" s="12" t="n"/>
      <c r="F25" s="16" t="n"/>
      <c r="G25" s="24" t="n"/>
      <c r="H25" s="16" t="n"/>
    </row>
    <row r="26" ht="19" customHeight="1">
      <c r="B26" s="10" t="inlineStr">
        <is>
          <t>Room Attendant</t>
        </is>
      </c>
      <c r="C26" s="16" t="n"/>
      <c r="D26" s="16" t="n"/>
      <c r="E26" s="12" t="n"/>
      <c r="F26" s="16" t="n"/>
      <c r="G26" s="24" t="n"/>
      <c r="H26" s="16" t="n"/>
    </row>
    <row r="27" ht="19" customHeight="1">
      <c r="B27" s="17" t="inlineStr">
        <is>
          <t>Head Chef</t>
        </is>
      </c>
      <c r="C27" s="16" t="n"/>
      <c r="D27" s="16" t="n"/>
      <c r="E27" s="12" t="n"/>
      <c r="F27" s="16" t="n"/>
      <c r="G27" s="24" t="n"/>
      <c r="H27" s="16" t="n"/>
    </row>
    <row r="28" ht="19" customHeight="1">
      <c r="B28" s="10" t="inlineStr">
        <is>
          <t>Chef de Partie / KP</t>
        </is>
      </c>
      <c r="C28" s="16" t="n"/>
      <c r="D28" s="16" t="n"/>
      <c r="E28" s="12" t="n"/>
      <c r="F28" s="16" t="n"/>
      <c r="G28" s="24" t="n"/>
      <c r="H28" s="16" t="n"/>
    </row>
    <row r="29" ht="19" customHeight="1">
      <c r="B29" s="17" t="inlineStr">
        <is>
          <t>F&amp;B / Bar Attendant</t>
        </is>
      </c>
      <c r="C29" s="16" t="n"/>
      <c r="D29" s="16" t="n"/>
      <c r="E29" s="12" t="n"/>
      <c r="F29" s="16" t="n"/>
      <c r="G29" s="24" t="n"/>
      <c r="H29" s="16" t="n"/>
    </row>
    <row r="30" ht="19" customHeight="1">
      <c r="B30" s="10" t="inlineStr">
        <is>
          <t>Maintenance</t>
        </is>
      </c>
      <c r="C30" s="16" t="n"/>
      <c r="D30" s="16" t="n"/>
      <c r="E30" s="12" t="n"/>
      <c r="F30" s="16" t="n"/>
      <c r="G30" s="24" t="n"/>
      <c r="H30" s="16" t="n"/>
    </row>
    <row r="31" ht="19" customHeight="1">
      <c r="B31" s="25" t="n"/>
      <c r="C31" s="16" t="n"/>
      <c r="D31" s="16" t="n"/>
      <c r="E31" s="12" t="n"/>
      <c r="F31" s="16" t="n"/>
      <c r="G31" s="24" t="n"/>
      <c r="H31" s="16" t="n"/>
    </row>
    <row r="32"/>
    <row r="33" ht="22" customHeight="1">
      <c r="B33" s="26" t="inlineStr">
        <is>
          <t>ASSET-FORGE · LEANTA Turnkey Pack · Boutique Hotel · v1.0 · 04/06/2026 · Phase 4 of 6</t>
        </is>
      </c>
    </row>
  </sheetData>
  <mergeCells count="6">
    <mergeCell ref="B1:K1"/>
    <mergeCell ref="B4:H4"/>
    <mergeCell ref="B33:K33"/>
    <mergeCell ref="B2:K2"/>
    <mergeCell ref="B5:H5"/>
    <mergeCell ref="B20:H20"/>
  </mergeCells>
  <conditionalFormatting sqref="G18">
    <cfRule type="cellIs" priority="1" operator="greaterThan" dxfId="0">
      <formula>0.32999999999999996</formula>
    </cfRule>
    <cfRule type="cellIs" priority="2" operator="lessThanOrEqual" dxfId="1">
      <formula>0.32999999999999996</formula>
    </cfRule>
  </conditionalFormatting>
  <dataValidations count="2">
    <dataValidation sqref="C22 C23 C24 C25 C26 C27 C28 C29 C30 C31" showDropDown="0" showInputMessage="0" showErrorMessage="0" allowBlank="1" type="list">
      <formula1>"Open,Advertised,Screening,Interview,Offer,Hired"</formula1>
    </dataValidation>
    <dataValidation sqref="F22 F23 F24 F25 F26 F27 F28 F29 F30 F31" showDropDown="0" showInputMessage="0" showErrorMessage="0" allowBlank="1" type="list">
      <formula1>"—,Offered,Accepted,Declined"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27" t="inlineStr">
        <is>
          <t>Rooms available</t>
        </is>
      </c>
      <c r="D5" s="28" t="n">
        <v>24</v>
      </c>
    </row>
    <row r="6" ht="18" customHeight="1">
      <c r="B6" s="27" t="inlineStr">
        <is>
          <t>ADR — average daily rate</t>
        </is>
      </c>
      <c r="D6" s="29" t="n">
        <v>135</v>
      </c>
      <c r="F6" s="30" t="inlineStr">
        <is>
          <t>4★ boutique IE €110–180</t>
        </is>
      </c>
    </row>
    <row r="7" ht="18" customHeight="1">
      <c r="B7" s="27" t="inlineStr">
        <is>
          <t>Occupancy</t>
        </is>
      </c>
      <c r="D7" s="9" t="n">
        <v>0.72</v>
      </c>
      <c r="F7" s="30" t="inlineStr">
        <is>
          <t>annualised; 65–80% typical</t>
        </is>
      </c>
    </row>
    <row r="8" ht="18" customHeight="1">
      <c r="B8" s="27" t="inlineStr">
        <is>
          <t>RevPAR (ADR × occupancy)</t>
        </is>
      </c>
      <c r="D8" s="31">
        <f>'Assumptions'!D6*'Assumptions'!D7</f>
        <v/>
      </c>
    </row>
    <row r="9" ht="18" customHeight="1">
      <c r="B9" s="27" t="inlineStr">
        <is>
          <t>F&amp;B + other revenue (% of rooms)</t>
        </is>
      </c>
      <c r="D9" s="9" t="n">
        <v>0.28</v>
      </c>
    </row>
    <row r="10" ht="18" customHeight="1">
      <c r="B10" s="27" t="inlineStr">
        <is>
          <t>Rooms revenue / yr</t>
        </is>
      </c>
      <c r="D10" s="21">
        <f>'Assumptions'!D5*365*'Assumptions'!D8</f>
        <v/>
      </c>
    </row>
    <row r="11" ht="18" customHeight="1">
      <c r="B11" s="27" t="inlineStr">
        <is>
          <t>Total revenue / yr</t>
        </is>
      </c>
      <c r="D11" s="21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27" t="inlineStr">
        <is>
          <t>Payroll (% of total revenue)</t>
        </is>
      </c>
      <c r="D14" s="9" t="n">
        <v>0.3</v>
      </c>
    </row>
    <row r="15" ht="18" customHeight="1">
      <c r="B15" s="27" t="inlineStr">
        <is>
          <t>F&amp;B cost (% of F&amp;B revenue)</t>
        </is>
      </c>
      <c r="D15" s="9" t="n">
        <v>0.3</v>
      </c>
    </row>
    <row r="16" ht="18" customHeight="1">
      <c r="B16" s="27" t="inlineStr">
        <is>
          <t>Rooms cost (% of rooms revenue)</t>
        </is>
      </c>
      <c r="D16" s="9" t="n">
        <v>0.1</v>
      </c>
    </row>
    <row r="17" ht="18" customHeight="1">
      <c r="B17" s="27" t="inlineStr">
        <is>
          <t>Utilities (% of total revenue)</t>
        </is>
      </c>
      <c r="D17" s="9" t="n">
        <v>0.05</v>
      </c>
    </row>
    <row r="18" ht="18" customHeight="1">
      <c r="B18" s="27" t="inlineStr">
        <is>
          <t>Sales &amp; marketing (% of revenue)</t>
        </is>
      </c>
      <c r="D18" s="9" t="n">
        <v>0.06</v>
      </c>
    </row>
    <row r="19" ht="18" customHeight="1">
      <c r="B19" s="27" t="inlineStr">
        <is>
          <t>Admin &amp; general (% of revenue)</t>
        </is>
      </c>
      <c r="D19" s="9" t="n">
        <v>0.05</v>
      </c>
    </row>
    <row r="20" ht="18" customHeight="1">
      <c r="B20" s="27" t="inlineStr">
        <is>
          <t>Property: rent/rates/insurance (%)</t>
        </is>
      </c>
      <c r="D20" s="9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27" t="inlineStr">
        <is>
          <t>Lease deposit &amp; legal</t>
        </is>
      </c>
      <c r="D23" s="32" t="n">
        <v>45000</v>
      </c>
    </row>
    <row r="24" ht="18" customHeight="1">
      <c r="B24" s="27" t="inlineStr">
        <is>
          <t>Building refurbishment &amp; fit-out</t>
        </is>
      </c>
      <c r="D24" s="32" t="n">
        <v>240000</v>
      </c>
    </row>
    <row r="25" ht="18" customHeight="1">
      <c r="B25" s="27" t="inlineStr">
        <is>
          <t>FF&amp;E (rooms, beds, furniture)</t>
        </is>
      </c>
      <c r="D25" s="32" t="n">
        <v>120000</v>
      </c>
    </row>
    <row r="26" ht="18" customHeight="1">
      <c r="B26" s="27" t="inlineStr">
        <is>
          <t>Kitchen &amp; F&amp;B equipment</t>
        </is>
      </c>
      <c r="D26" s="32" t="n">
        <v>55000</v>
      </c>
    </row>
    <row r="27" ht="18" customHeight="1">
      <c r="B27" s="27" t="inlineStr">
        <is>
          <t>IT, PMS, POS &amp; networking</t>
        </is>
      </c>
      <c r="D27" s="32" t="n">
        <v>30000</v>
      </c>
    </row>
    <row r="28" ht="18" customHeight="1">
      <c r="B28" s="27" t="inlineStr">
        <is>
          <t>Branding, signage &amp; website</t>
        </is>
      </c>
      <c r="D28" s="32" t="n">
        <v>25000</v>
      </c>
    </row>
    <row r="29" ht="18" customHeight="1">
      <c r="B29" s="27" t="inlineStr">
        <is>
          <t>Pre-opening payroll &amp; training</t>
        </is>
      </c>
      <c r="D29" s="32" t="n">
        <v>35000</v>
      </c>
    </row>
    <row r="30" ht="18" customHeight="1">
      <c r="B30" s="27" t="inlineStr">
        <is>
          <t>Working capital buffer</t>
        </is>
      </c>
      <c r="D30" s="32" t="n">
        <v>50000</v>
      </c>
    </row>
    <row r="31">
      <c r="B31" s="33" t="inlineStr">
        <is>
          <t>Total capex required</t>
        </is>
      </c>
      <c r="D31" s="21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27" t="inlineStr">
        <is>
          <t>Founder equity (incl. SURE refund)</t>
        </is>
      </c>
      <c r="D34" s="32" t="n">
        <v>180000</v>
      </c>
      <c r="F34" s="34">
        <f>IF($D$34="","",D34/SUM($D$34:$D$37))</f>
        <v/>
      </c>
    </row>
    <row r="35" ht="18" customHeight="1">
      <c r="B35" s="27" t="inlineStr">
        <is>
          <t>LEO Priming grant</t>
        </is>
      </c>
      <c r="D35" s="32" t="n">
        <v>80000</v>
      </c>
      <c r="F35" s="34">
        <f>IF($D$35="","",D35/SUM($D$34:$D$37))</f>
        <v/>
      </c>
    </row>
    <row r="36" ht="18" customHeight="1">
      <c r="B36" s="27" t="inlineStr">
        <is>
          <t>Bank / SBCI term loan</t>
        </is>
      </c>
      <c r="D36" s="32" t="n">
        <v>300000</v>
      </c>
      <c r="F36" s="34">
        <f>IF($D$36="","",D36/SUM($D$34:$D$37))</f>
        <v/>
      </c>
    </row>
    <row r="37" ht="18" customHeight="1">
      <c r="B37" s="27" t="inlineStr">
        <is>
          <t>Microfinance Ireland loan</t>
        </is>
      </c>
      <c r="D37" s="32" t="n">
        <v>40000</v>
      </c>
      <c r="F37" s="34">
        <f>IF($D$37="","",D37/SUM($D$34:$D$37))</f>
        <v/>
      </c>
    </row>
    <row r="38">
      <c r="B38" s="33" t="inlineStr">
        <is>
          <t>Total funding raised</t>
        </is>
      </c>
      <c r="D38" s="21">
        <f>SUM(D34:D37)</f>
        <v/>
      </c>
    </row>
    <row r="39">
      <c r="B39" s="35" t="inlineStr">
        <is>
          <t>Funding vs capex (surplus/gap)</t>
        </is>
      </c>
      <c r="D39" s="21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6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6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6" t="inlineStr">
        <is>
          <t xml:space="preserve">  Cost ratios (payroll ~30%, F&amp;B cost ~30%): USALI hotel P&amp;L conventions.</t>
        </is>
      </c>
    </row>
    <row r="45" ht="30" customHeight="1">
      <c r="B45" s="6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6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Team Building</dc:title>
  <dcterms:created xsi:type="dcterms:W3CDTF">2026-06-04T13:10:55Z</dcterms:created>
  <dcterms:modified xsi:type="dcterms:W3CDTF">2026-06-04T13:10:55Z</dcterms:modified>
</cp:coreProperties>
</file>