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lan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#,##0\ &quot;€&quot;"/>
  </numFmts>
  <fonts count="16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i val="1"/>
      <color rgb="006B7280"/>
      <sz val="9.5"/>
    </font>
    <font>
      <name val="Calibri"/>
      <i val="1"/>
      <color rgb="006B7280"/>
      <sz val="9"/>
    </font>
    <font>
      <name val="Calibri"/>
      <b val="1"/>
      <color rgb="002D6CDF"/>
      <sz val="9.5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6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  <border>
      <left/>
      <right/>
      <top/>
      <bottom style="thin">
        <color rgb="00DCE3E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0" fillId="4" borderId="0" applyAlignment="1" pivotButton="0" quotePrefix="0" xfId="0">
      <alignment horizontal="left" vertical="center" wrapText="1" indent="1"/>
    </xf>
    <xf numFmtId="0" fontId="12" fillId="5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8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2" fontId="0" fillId="3" borderId="2" pivotButton="0" quotePrefix="0" xfId="0"/>
    <xf numFmtId="0" fontId="14" fillId="0" borderId="0" pivotButton="0" quotePrefix="0" xfId="0"/>
    <xf numFmtId="0" fontId="15" fillId="4" borderId="0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left" vertical="center" indent="1"/>
    </xf>
    <xf numFmtId="166" fontId="8" fillId="4" borderId="3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 indent="1"/>
    </xf>
    <xf numFmtId="166" fontId="6" fillId="4" borderId="3" pivotButton="0" quotePrefix="0" xfId="0"/>
    <xf numFmtId="165" fontId="6" fillId="4" borderId="3" pivotButton="0" quotePrefix="0" xfId="0"/>
    <xf numFmtId="0" fontId="9" fillId="0" borderId="0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164" fontId="6" fillId="4" borderId="3" pivotButton="0" quotePrefix="0" xfId="0"/>
    <xf numFmtId="166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165" fontId="8" fillId="4" borderId="3" pivotButton="0" quotePrefix="0" xfId="0"/>
  </cellXfs>
  <cellStyles count="1">
    <cellStyle name="Normal" xfId="0" builtinId="0" hidden="0"/>
  </cellStyles>
  <dxfs count="3">
    <dxf>
      <font>
        <name val="Calibri"/>
        <color rgb="001E9E6A"/>
        <sz val="9.5"/>
      </font>
      <fill>
        <patternFill patternType="solid">
          <fgColor rgb="00E6F4EC"/>
        </patternFill>
      </fill>
    </dxf>
    <dxf>
      <font>
        <name val="Calibri"/>
        <color rgb="00B26B00"/>
        <sz val="9.5"/>
      </font>
      <fill>
        <patternFill patternType="solid">
          <fgColor rgb="00FBEFD6"/>
        </patternFill>
      </fill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GOP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'Business Plan'!$C$18:$E$18</f>
            </numRef>
          </cat>
          <val>
            <numRef>
              <f>'Business Plan'!$C$34:$E$34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43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4" customWidth="1" min="2" max="2"/>
    <col width="31" customWidth="1" min="3" max="3"/>
    <col width="16" customWidth="1" min="4" max="4"/>
    <col width="16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Business Plan</t>
        </is>
      </c>
    </row>
    <row r="2" ht="20" customHeight="1">
      <c r="B2" s="2" t="inlineStr">
        <is>
          <t>Phase 1 · Service definition + 3-scenario annual P&amp;L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4" customHeight="1">
      <c r="B4" s="4" t="inlineStr">
        <is>
          <t>EXECUTIVE SUMMARY</t>
        </is>
      </c>
      <c r="C4" s="5" t="n"/>
      <c r="D4" s="5" t="n"/>
      <c r="E4" s="5" t="n"/>
      <c r="F4" s="5" t="n"/>
    </row>
    <row r="5" ht="30" customHeight="1">
      <c r="B5" s="6" t="inlineStr">
        <is>
          <t xml:space="preserve">  A 24-room 4★ boutique hotel; ADR €135, target occupancy 72%, RevPAR €97.</t>
        </is>
      </c>
    </row>
    <row r="6" ht="30" customHeight="1">
      <c r="B6" s="6" t="inlineStr">
        <is>
          <t xml:space="preserve">  Positioning: design-led, service-rich, direct-booking-first to beat OTA commission and lift repeat stays.</t>
        </is>
      </c>
    </row>
    <row r="7" ht="30" customHeight="1">
      <c r="B7" s="6" t="inlineStr">
        <is>
          <t xml:space="preserve">  Funded by a blended stack (founder equity incl. SURE refund, LEO grant, term loan, MFI) — see Phase 2.</t>
        </is>
      </c>
    </row>
    <row r="8"/>
    <row r="9" ht="24" customHeight="1">
      <c r="B9" s="4" t="inlineStr">
        <is>
          <t>SERVICE DEFINITION</t>
        </is>
      </c>
      <c r="C9" s="5" t="n"/>
      <c r="D9" s="5" t="n"/>
      <c r="E9" s="5" t="n"/>
      <c r="F9" s="5" t="n"/>
    </row>
    <row r="10" ht="30" customHeight="1">
      <c r="B10" s="7" t="inlineStr">
        <is>
          <t>Revenue stream</t>
        </is>
      </c>
      <c r="C10" s="7" t="inlineStr">
        <is>
          <t>What it is</t>
        </is>
      </c>
      <c r="D10" s="7" t="inlineStr">
        <is>
          <t>Pricing basis</t>
        </is>
      </c>
      <c r="E10" s="7" t="inlineStr"/>
      <c r="F10" s="7" t="inlineStr"/>
    </row>
    <row r="11" ht="19" customHeight="1">
      <c r="B11" s="8" t="inlineStr">
        <is>
          <t>Rooms</t>
        </is>
      </c>
      <c r="C11" s="9" t="inlineStr">
        <is>
          <t>24 keys, 3 room grades</t>
        </is>
      </c>
      <c r="D11" s="9" t="inlineStr">
        <is>
          <t>ADR + dynamic</t>
        </is>
      </c>
      <c r="E11" s="10" t="n"/>
      <c r="F11" s="9" t="n"/>
    </row>
    <row r="12" ht="19" customHeight="1">
      <c r="B12" s="11" t="inlineStr">
        <is>
          <t>Food &amp; beverage</t>
        </is>
      </c>
      <c r="C12" s="12" t="inlineStr">
        <is>
          <t>Breakfast, bar, small-plates</t>
        </is>
      </c>
      <c r="D12" s="12" t="inlineStr">
        <is>
          <t>Per cover / menu</t>
        </is>
      </c>
      <c r="E12" s="10" t="n"/>
      <c r="F12" s="12" t="n"/>
    </row>
    <row r="13" ht="19" customHeight="1">
      <c r="B13" s="8" t="inlineStr">
        <is>
          <t>Events &amp; meetings</t>
        </is>
      </c>
      <c r="C13" s="9" t="inlineStr">
        <is>
          <t>Small functions, private dining</t>
        </is>
      </c>
      <c r="D13" s="9" t="inlineStr">
        <is>
          <t>Day-delegate / hire</t>
        </is>
      </c>
      <c r="E13" s="10" t="n"/>
      <c r="F13" s="9" t="n"/>
    </row>
    <row r="14" ht="19" customHeight="1">
      <c r="B14" s="11" t="inlineStr">
        <is>
          <t>Ancillary</t>
        </is>
      </c>
      <c r="C14" s="12" t="inlineStr">
        <is>
          <t>Parking, late checkout, retail</t>
        </is>
      </c>
      <c r="D14" s="12" t="inlineStr">
        <is>
          <t>Add-on</t>
        </is>
      </c>
      <c r="E14" s="10" t="n"/>
      <c r="F14" s="12" t="n"/>
    </row>
    <row r="15"/>
    <row r="16" ht="24" customHeight="1">
      <c r="B16" s="4" t="inlineStr">
        <is>
          <t>3-SCENARIO ANNUAL P&amp;L (LINKED TO ASSUMPTIONS)</t>
        </is>
      </c>
      <c r="C16" s="5" t="n"/>
      <c r="D16" s="5" t="n"/>
      <c r="E16" s="5" t="n"/>
      <c r="F16" s="5" t="n"/>
    </row>
    <row r="17" ht="30" customHeight="1">
      <c r="B17" s="6" t="inlineStr">
        <is>
          <t xml:space="preserve">  Low / Base / High flex occupancy &amp; ADR via the multipliers row. Every figure links to the Assumptions sheet.</t>
        </is>
      </c>
    </row>
    <row r="18" ht="30" customHeight="1">
      <c r="B18" s="7" t="inlineStr">
        <is>
          <t>Line (€/yr)</t>
        </is>
      </c>
      <c r="C18" s="7" t="inlineStr">
        <is>
          <t>Low</t>
        </is>
      </c>
      <c r="D18" s="7" t="inlineStr">
        <is>
          <t>Base</t>
        </is>
      </c>
      <c r="E18" s="7" t="inlineStr">
        <is>
          <t>High</t>
        </is>
      </c>
      <c r="F18" s="7" t="inlineStr">
        <is>
          <t>Driver</t>
        </is>
      </c>
    </row>
    <row r="19">
      <c r="B19" s="13" t="inlineStr">
        <is>
          <t>Occupancy ×  /  ADR ×</t>
        </is>
      </c>
      <c r="C19" s="14" t="n">
        <v>0.85</v>
      </c>
      <c r="D19" s="14" t="n">
        <v>1</v>
      </c>
      <c r="E19" s="14" t="n">
        <v>1.12</v>
      </c>
      <c r="F19" s="15" t="inlineStr">
        <is>
          <t>occupancy flex</t>
        </is>
      </c>
    </row>
    <row r="20">
      <c r="B20" s="13" t="inlineStr">
        <is>
          <t>ADR multiplier</t>
        </is>
      </c>
      <c r="C20" s="14" t="n">
        <v>0.93</v>
      </c>
      <c r="D20" s="14" t="n">
        <v>1</v>
      </c>
      <c r="E20" s="14" t="n">
        <v>1.08</v>
      </c>
      <c r="F20" s="15" t="inlineStr">
        <is>
          <t>rate flex</t>
        </is>
      </c>
    </row>
    <row r="21" ht="16" customHeight="1">
      <c r="B21" s="16" t="inlineStr">
        <is>
          <t>Revenue</t>
        </is>
      </c>
    </row>
    <row r="22" ht="16" customHeight="1">
      <c r="B22" s="17" t="inlineStr">
        <is>
          <t>Rooms revenue</t>
        </is>
      </c>
      <c r="C22" s="18">
        <f>'Assumptions'!D5*365*('Assumptions'!D6*C20)*('Assumptions'!D7*C19)</f>
        <v/>
      </c>
      <c r="D22" s="18">
        <f>'Assumptions'!D5*365*('Assumptions'!D6*D20)*('Assumptions'!D7*D19)</f>
        <v/>
      </c>
      <c r="E22" s="18">
        <f>'Assumptions'!D5*365*('Assumptions'!D6*E20)*('Assumptions'!D7*E19)</f>
        <v/>
      </c>
      <c r="F22" s="19" t="inlineStr">
        <is>
          <t>rooms×365×ADR×occ</t>
        </is>
      </c>
    </row>
    <row r="23" ht="16" customHeight="1">
      <c r="B23" s="17" t="inlineStr">
        <is>
          <t>F&amp;B + other revenue</t>
        </is>
      </c>
      <c r="C23" s="18">
        <f>C22*'Assumptions'!D9</f>
        <v/>
      </c>
      <c r="D23" s="18">
        <f>D22*'Assumptions'!D9</f>
        <v/>
      </c>
      <c r="E23" s="18">
        <f>E22*'Assumptions'!D9</f>
        <v/>
      </c>
      <c r="F23" s="19" t="inlineStr">
        <is>
          <t>% of rooms</t>
        </is>
      </c>
    </row>
    <row r="24" ht="16" customHeight="1">
      <c r="B24" s="20" t="inlineStr">
        <is>
          <t>Total revenue</t>
        </is>
      </c>
      <c r="C24" s="21">
        <f>C22+C23</f>
        <v/>
      </c>
      <c r="D24" s="21">
        <f>D22+D23</f>
        <v/>
      </c>
      <c r="E24" s="21">
        <f>E22+E23</f>
        <v/>
      </c>
    </row>
    <row r="25" ht="16" customHeight="1">
      <c r="B25" s="16" t="inlineStr">
        <is>
          <t>Costs</t>
        </is>
      </c>
    </row>
    <row r="26" ht="16" customHeight="1">
      <c r="B26" s="17" t="inlineStr">
        <is>
          <t>Payroll</t>
        </is>
      </c>
      <c r="C26" s="18">
        <f>C24*'Assumptions'!D14</f>
        <v/>
      </c>
      <c r="D26" s="18">
        <f>D24*'Assumptions'!D14</f>
        <v/>
      </c>
      <c r="E26" s="18">
        <f>E24*'Assumptions'!D14</f>
        <v/>
      </c>
      <c r="F26" s="19" t="inlineStr">
        <is>
          <t>% of revenue</t>
        </is>
      </c>
    </row>
    <row r="27" ht="16" customHeight="1">
      <c r="B27" s="17" t="inlineStr">
        <is>
          <t>F&amp;B cost of sales</t>
        </is>
      </c>
      <c r="C27" s="18">
        <f>C23*'Assumptions'!D15</f>
        <v/>
      </c>
      <c r="D27" s="18">
        <f>D23*'Assumptions'!D15</f>
        <v/>
      </c>
      <c r="E27" s="18">
        <f>E23*'Assumptions'!D15</f>
        <v/>
      </c>
      <c r="F27" s="19" t="inlineStr">
        <is>
          <t>% of F&amp;B rev</t>
        </is>
      </c>
    </row>
    <row r="28" ht="16" customHeight="1">
      <c r="B28" s="17" t="inlineStr">
        <is>
          <t>Rooms cost (hskpg etc.)</t>
        </is>
      </c>
      <c r="C28" s="18">
        <f>C22*'Assumptions'!D16</f>
        <v/>
      </c>
      <c r="D28" s="18">
        <f>D22*'Assumptions'!D16</f>
        <v/>
      </c>
      <c r="E28" s="18">
        <f>E22*'Assumptions'!D16</f>
        <v/>
      </c>
      <c r="F28" s="19" t="inlineStr">
        <is>
          <t>% of rooms rev</t>
        </is>
      </c>
    </row>
    <row r="29" ht="16" customHeight="1">
      <c r="B29" s="17" t="inlineStr">
        <is>
          <t>Utilities</t>
        </is>
      </c>
      <c r="C29" s="18">
        <f>C24*'Assumptions'!D17</f>
        <v/>
      </c>
      <c r="D29" s="18">
        <f>D24*'Assumptions'!D17</f>
        <v/>
      </c>
      <c r="E29" s="18">
        <f>E24*'Assumptions'!D17</f>
        <v/>
      </c>
      <c r="F29" s="19" t="inlineStr">
        <is>
          <t>% of revenue</t>
        </is>
      </c>
    </row>
    <row r="30" ht="16" customHeight="1">
      <c r="B30" s="17" t="inlineStr">
        <is>
          <t>Sales &amp; marketing</t>
        </is>
      </c>
      <c r="C30" s="18">
        <f>C24*'Assumptions'!D18</f>
        <v/>
      </c>
      <c r="D30" s="18">
        <f>D24*'Assumptions'!D18</f>
        <v/>
      </c>
      <c r="E30" s="18">
        <f>E24*'Assumptions'!D18</f>
        <v/>
      </c>
      <c r="F30" s="19" t="inlineStr">
        <is>
          <t>% of revenue</t>
        </is>
      </c>
    </row>
    <row r="31" ht="16" customHeight="1">
      <c r="B31" s="17" t="inlineStr">
        <is>
          <t>Admin &amp; general</t>
        </is>
      </c>
      <c r="C31" s="18">
        <f>C24*'Assumptions'!D19</f>
        <v/>
      </c>
      <c r="D31" s="18">
        <f>D24*'Assumptions'!D19</f>
        <v/>
      </c>
      <c r="E31" s="18">
        <f>E24*'Assumptions'!D19</f>
        <v/>
      </c>
      <c r="F31" s="19" t="inlineStr">
        <is>
          <t>% of revenue</t>
        </is>
      </c>
    </row>
    <row r="32" ht="16" customHeight="1">
      <c r="B32" s="17" t="inlineStr">
        <is>
          <t>Property (rent/rates/ins.)</t>
        </is>
      </c>
      <c r="C32" s="18">
        <f>C24*'Assumptions'!D20</f>
        <v/>
      </c>
      <c r="D32" s="18">
        <f>D24*'Assumptions'!D20</f>
        <v/>
      </c>
      <c r="E32" s="18">
        <f>E24*'Assumptions'!D20</f>
        <v/>
      </c>
      <c r="F32" s="19" t="inlineStr">
        <is>
          <t>% of revenue</t>
        </is>
      </c>
    </row>
    <row r="33" ht="16" customHeight="1">
      <c r="B33" s="20" t="inlineStr">
        <is>
          <t>Total costs</t>
        </is>
      </c>
      <c r="C33" s="21">
        <f>SUM(C26:C32)</f>
        <v/>
      </c>
      <c r="D33" s="21">
        <f>SUM(D26:D32)</f>
        <v/>
      </c>
      <c r="E33" s="21">
        <f>SUM(E26:E32)</f>
        <v/>
      </c>
    </row>
    <row r="34" ht="16" customHeight="1">
      <c r="B34" s="20" t="inlineStr">
        <is>
          <t>Gross operating profit</t>
        </is>
      </c>
      <c r="C34" s="21">
        <f>C24-C33</f>
        <v/>
      </c>
      <c r="D34" s="21">
        <f>D24-D33</f>
        <v/>
      </c>
      <c r="E34" s="21">
        <f>E24-E33</f>
        <v/>
      </c>
    </row>
    <row r="35" ht="16" customHeight="1">
      <c r="B35" s="20" t="inlineStr">
        <is>
          <t>GOP margin</t>
        </is>
      </c>
      <c r="C35" s="22">
        <f>IFERROR(C34/C24,0)</f>
        <v/>
      </c>
      <c r="D35" s="22">
        <f>IFERROR(D34/D24,0)</f>
        <v/>
      </c>
      <c r="E35" s="22">
        <f>IFERROR(E34/E24,0)</f>
        <v/>
      </c>
      <c r="F35" s="19" t="inlineStr">
        <is>
          <t>GOP ÷ revenue</t>
        </is>
      </c>
    </row>
    <row r="36"/>
    <row r="37" ht="24" customHeight="1">
      <c r="B37" s="4" t="inlineStr">
        <is>
          <t>PHASE 1 GO / NO-GO GATE (BASE CASE)</t>
        </is>
      </c>
      <c r="C37" s="5" t="n"/>
      <c r="D37" s="5" t="n"/>
      <c r="E37" s="5" t="n"/>
      <c r="F37" s="5" t="n"/>
    </row>
    <row r="38">
      <c r="B38" s="23" t="inlineStr">
        <is>
          <t>Base GOP ≥ €250k?</t>
        </is>
      </c>
      <c r="D38" s="21">
        <f>D34</f>
        <v/>
      </c>
      <c r="E38" s="24">
        <f>IF(D34&gt;=250000,"PASS","REVIEW")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22" customHeight="1">
      <c r="B53" s="25" t="inlineStr">
        <is>
          <t>ASSET-FORGE · LEANTA Turnkey Pack · Boutique Hotel · v1.0 · 04/06/2026 · Phase 1 of 6</t>
        </is>
      </c>
    </row>
  </sheetData>
  <mergeCells count="17">
    <mergeCell ref="B4:F4"/>
    <mergeCell ref="B21:F21"/>
    <mergeCell ref="B7:F7"/>
    <mergeCell ref="B1:K1"/>
    <mergeCell ref="B6:F6"/>
    <mergeCell ref="B16:F16"/>
    <mergeCell ref="D11:E11"/>
    <mergeCell ref="D13:E13"/>
    <mergeCell ref="B25:F25"/>
    <mergeCell ref="B5:F5"/>
    <mergeCell ref="B37:F37"/>
    <mergeCell ref="B53:K53"/>
    <mergeCell ref="D14:E14"/>
    <mergeCell ref="B2:K2"/>
    <mergeCell ref="B17:F17"/>
    <mergeCell ref="B9:F9"/>
    <mergeCell ref="D12:E12"/>
  </mergeCells>
  <conditionalFormatting sqref="E38">
    <cfRule type="cellIs" priority="1" operator="equal" dxfId="0">
      <formula>"PASS"</formula>
    </cfRule>
    <cfRule type="cellIs" priority="2" operator="equal" dxfId="1">
      <formula>"REVIEW"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4" t="inlineStr">
        <is>
          <t>DEMAND &amp; RATE</t>
        </is>
      </c>
      <c r="C4" s="5" t="n"/>
      <c r="D4" s="5" t="n"/>
      <c r="E4" s="5" t="n"/>
      <c r="F4" s="5" t="n"/>
    </row>
    <row r="5" ht="18" customHeight="1">
      <c r="B5" s="26" t="inlineStr">
        <is>
          <t>Rooms available</t>
        </is>
      </c>
      <c r="D5" s="27" t="n">
        <v>24</v>
      </c>
    </row>
    <row r="6" ht="18" customHeight="1">
      <c r="B6" s="26" t="inlineStr">
        <is>
          <t>ADR — average daily rate</t>
        </is>
      </c>
      <c r="D6" s="28" t="n">
        <v>135</v>
      </c>
      <c r="F6" s="19" t="inlineStr">
        <is>
          <t>4★ boutique IE €110–180</t>
        </is>
      </c>
    </row>
    <row r="7" ht="18" customHeight="1">
      <c r="B7" s="26" t="inlineStr">
        <is>
          <t>Occupancy</t>
        </is>
      </c>
      <c r="D7" s="29" t="n">
        <v>0.72</v>
      </c>
      <c r="F7" s="19" t="inlineStr">
        <is>
          <t>annualised; 65–80% typical</t>
        </is>
      </c>
    </row>
    <row r="8" ht="18" customHeight="1">
      <c r="B8" s="26" t="inlineStr">
        <is>
          <t>RevPAR (ADR × occupancy)</t>
        </is>
      </c>
      <c r="D8" s="30">
        <f>'Assumptions'!D6*'Assumptions'!D7</f>
        <v/>
      </c>
    </row>
    <row r="9" ht="18" customHeight="1">
      <c r="B9" s="26" t="inlineStr">
        <is>
          <t>F&amp;B + other revenue (% of rooms)</t>
        </is>
      </c>
      <c r="D9" s="29" t="n">
        <v>0.28</v>
      </c>
    </row>
    <row r="10" ht="18" customHeight="1">
      <c r="B10" s="26" t="inlineStr">
        <is>
          <t>Rooms revenue / yr</t>
        </is>
      </c>
      <c r="D10" s="21">
        <f>'Assumptions'!D5*365*'Assumptions'!D8</f>
        <v/>
      </c>
    </row>
    <row r="11" ht="18" customHeight="1">
      <c r="B11" s="26" t="inlineStr">
        <is>
          <t>Total revenue / yr</t>
        </is>
      </c>
      <c r="D11" s="21">
        <f>'Assumptions'!D10*(1+'Assumptions'!D9)</f>
        <v/>
      </c>
    </row>
    <row r="12"/>
    <row r="13" ht="24" customHeight="1">
      <c r="B13" s="4" t="inlineStr">
        <is>
          <t>COST RATIOS</t>
        </is>
      </c>
      <c r="C13" s="5" t="n"/>
      <c r="D13" s="5" t="n"/>
      <c r="E13" s="5" t="n"/>
      <c r="F13" s="5" t="n"/>
    </row>
    <row r="14" ht="18" customHeight="1">
      <c r="B14" s="26" t="inlineStr">
        <is>
          <t>Payroll (% of total revenue)</t>
        </is>
      </c>
      <c r="D14" s="29" t="n">
        <v>0.3</v>
      </c>
    </row>
    <row r="15" ht="18" customHeight="1">
      <c r="B15" s="26" t="inlineStr">
        <is>
          <t>F&amp;B cost (% of F&amp;B revenue)</t>
        </is>
      </c>
      <c r="D15" s="29" t="n">
        <v>0.3</v>
      </c>
    </row>
    <row r="16" ht="18" customHeight="1">
      <c r="B16" s="26" t="inlineStr">
        <is>
          <t>Rooms cost (% of rooms revenue)</t>
        </is>
      </c>
      <c r="D16" s="29" t="n">
        <v>0.1</v>
      </c>
    </row>
    <row r="17" ht="18" customHeight="1">
      <c r="B17" s="26" t="inlineStr">
        <is>
          <t>Utilities (% of total revenue)</t>
        </is>
      </c>
      <c r="D17" s="29" t="n">
        <v>0.05</v>
      </c>
    </row>
    <row r="18" ht="18" customHeight="1">
      <c r="B18" s="26" t="inlineStr">
        <is>
          <t>Sales &amp; marketing (% of revenue)</t>
        </is>
      </c>
      <c r="D18" s="29" t="n">
        <v>0.06</v>
      </c>
    </row>
    <row r="19" ht="18" customHeight="1">
      <c r="B19" s="26" t="inlineStr">
        <is>
          <t>Admin &amp; general (% of revenue)</t>
        </is>
      </c>
      <c r="D19" s="29" t="n">
        <v>0.05</v>
      </c>
    </row>
    <row r="20" ht="18" customHeight="1">
      <c r="B20" s="26" t="inlineStr">
        <is>
          <t>Property: rent/rates/insurance (%)</t>
        </is>
      </c>
      <c r="D20" s="29" t="n">
        <v>0.12</v>
      </c>
    </row>
    <row r="21"/>
    <row r="22" ht="24" customHeight="1">
      <c r="B22" s="4" t="inlineStr">
        <is>
          <t>CAPITAL EXPENDITURE (FIT-OUT LED — LEASED PROPERTY)</t>
        </is>
      </c>
      <c r="C22" s="5" t="n"/>
      <c r="D22" s="5" t="n"/>
      <c r="E22" s="5" t="n"/>
      <c r="F22" s="5" t="n"/>
    </row>
    <row r="23" ht="18" customHeight="1">
      <c r="B23" s="26" t="inlineStr">
        <is>
          <t>Lease deposit &amp; legal</t>
        </is>
      </c>
      <c r="D23" s="31" t="n">
        <v>45000</v>
      </c>
    </row>
    <row r="24" ht="18" customHeight="1">
      <c r="B24" s="26" t="inlineStr">
        <is>
          <t>Building refurbishment &amp; fit-out</t>
        </is>
      </c>
      <c r="D24" s="31" t="n">
        <v>240000</v>
      </c>
    </row>
    <row r="25" ht="18" customHeight="1">
      <c r="B25" s="26" t="inlineStr">
        <is>
          <t>FF&amp;E (rooms, beds, furniture)</t>
        </is>
      </c>
      <c r="D25" s="31" t="n">
        <v>120000</v>
      </c>
    </row>
    <row r="26" ht="18" customHeight="1">
      <c r="B26" s="26" t="inlineStr">
        <is>
          <t>Kitchen &amp; F&amp;B equipment</t>
        </is>
      </c>
      <c r="D26" s="31" t="n">
        <v>55000</v>
      </c>
    </row>
    <row r="27" ht="18" customHeight="1">
      <c r="B27" s="26" t="inlineStr">
        <is>
          <t>IT, PMS, POS &amp; networking</t>
        </is>
      </c>
      <c r="D27" s="31" t="n">
        <v>30000</v>
      </c>
    </row>
    <row r="28" ht="18" customHeight="1">
      <c r="B28" s="26" t="inlineStr">
        <is>
          <t>Branding, signage &amp; website</t>
        </is>
      </c>
      <c r="D28" s="31" t="n">
        <v>25000</v>
      </c>
    </row>
    <row r="29" ht="18" customHeight="1">
      <c r="B29" s="26" t="inlineStr">
        <is>
          <t>Pre-opening payroll &amp; training</t>
        </is>
      </c>
      <c r="D29" s="31" t="n">
        <v>35000</v>
      </c>
    </row>
    <row r="30" ht="18" customHeight="1">
      <c r="B30" s="26" t="inlineStr">
        <is>
          <t>Working capital buffer</t>
        </is>
      </c>
      <c r="D30" s="31" t="n">
        <v>50000</v>
      </c>
    </row>
    <row r="31">
      <c r="B31" s="32" t="inlineStr">
        <is>
          <t>Total capex required</t>
        </is>
      </c>
      <c r="D31" s="21">
        <f>SUM(D23:D30)</f>
        <v/>
      </c>
    </row>
    <row r="32"/>
    <row r="33" ht="24" customHeight="1">
      <c r="B33" s="4" t="inlineStr">
        <is>
          <t>FUNDING MIX</t>
        </is>
      </c>
      <c r="C33" s="5" t="n"/>
      <c r="D33" s="5" t="n"/>
      <c r="E33" s="5" t="n"/>
      <c r="F33" s="5" t="n"/>
    </row>
    <row r="34" ht="18" customHeight="1">
      <c r="B34" s="26" t="inlineStr">
        <is>
          <t>Founder equity (incl. SURE refund)</t>
        </is>
      </c>
      <c r="D34" s="31" t="n">
        <v>180000</v>
      </c>
      <c r="F34" s="33">
        <f>IF($D$34="","",D34/SUM($D$34:$D$37))</f>
        <v/>
      </c>
    </row>
    <row r="35" ht="18" customHeight="1">
      <c r="B35" s="26" t="inlineStr">
        <is>
          <t>LEO Priming grant</t>
        </is>
      </c>
      <c r="D35" s="31" t="n">
        <v>80000</v>
      </c>
      <c r="F35" s="33">
        <f>IF($D$35="","",D35/SUM($D$34:$D$37))</f>
        <v/>
      </c>
    </row>
    <row r="36" ht="18" customHeight="1">
      <c r="B36" s="26" t="inlineStr">
        <is>
          <t>Bank / SBCI term loan</t>
        </is>
      </c>
      <c r="D36" s="31" t="n">
        <v>300000</v>
      </c>
      <c r="F36" s="33">
        <f>IF($D$36="","",D36/SUM($D$34:$D$37))</f>
        <v/>
      </c>
    </row>
    <row r="37" ht="18" customHeight="1">
      <c r="B37" s="26" t="inlineStr">
        <is>
          <t>Microfinance Ireland loan</t>
        </is>
      </c>
      <c r="D37" s="31" t="n">
        <v>40000</v>
      </c>
      <c r="F37" s="33">
        <f>IF($D$37="","",D37/SUM($D$34:$D$37))</f>
        <v/>
      </c>
    </row>
    <row r="38">
      <c r="B38" s="32" t="inlineStr">
        <is>
          <t>Total funding raised</t>
        </is>
      </c>
      <c r="D38" s="21">
        <f>SUM(D34:D37)</f>
        <v/>
      </c>
    </row>
    <row r="39">
      <c r="B39" s="23" t="inlineStr">
        <is>
          <t>Funding vs capex (surplus/gap)</t>
        </is>
      </c>
      <c r="D39" s="21">
        <f>'Assumptions'!D38-'Assumptions'!D31</f>
        <v/>
      </c>
    </row>
    <row r="40"/>
    <row r="41" ht="24" customHeight="1">
      <c r="B41" s="4" t="inlineStr">
        <is>
          <t>SOURCES &amp; BENCHMARK NOTES</t>
        </is>
      </c>
      <c r="C41" s="5" t="n"/>
      <c r="D41" s="5" t="n"/>
      <c r="E41" s="5" t="n"/>
      <c r="F41" s="5" t="n"/>
    </row>
    <row r="42" ht="30" customHeight="1">
      <c r="B42" s="6" t="inlineStr">
        <is>
          <t xml:space="preserve">  ADR/occupancy/RevPAR benchmarks: Fáilte Ireland &amp; STR Ireland hotel performance reports (4-star/boutique ranges).</t>
        </is>
      </c>
    </row>
    <row r="43" ht="30" customHeight="1">
      <c r="B43" s="6" t="inlineStr">
        <is>
          <t xml:space="preserve">  Grant/funding figures: Local Enterprise Office (localenterprise.ie), Microfinance Ireland, SBCI, Fáilte Ireland investment schemes.</t>
        </is>
      </c>
    </row>
    <row r="44" ht="30" customHeight="1">
      <c r="B44" s="6" t="inlineStr">
        <is>
          <t xml:space="preserve">  Cost ratios (payroll ~30%, F&amp;B cost ~30%): USALI hotel P&amp;L conventions.</t>
        </is>
      </c>
    </row>
    <row r="45" ht="30" customHeight="1">
      <c r="B45" s="6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5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Business Plan</dc:title>
  <dcterms:created xsi:type="dcterms:W3CDTF">2026-06-04T13:10:55Z</dcterms:created>
  <dcterms:modified xsi:type="dcterms:W3CDTF">2026-06-04T13:10:55Z</dcterms:modified>
</cp:coreProperties>
</file>