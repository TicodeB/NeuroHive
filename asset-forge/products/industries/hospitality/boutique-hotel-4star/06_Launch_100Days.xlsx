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nch 100 Days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\ &quot;€&quot;"/>
    <numFmt numFmtId="165" formatCode="0.0%"/>
    <numFmt numFmtId="166" formatCode="#,##0\ &quot;€&quot;"/>
    <numFmt numFmtId="167" formatCode="0.0"/>
  </numFmts>
  <fonts count="13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6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  <border>
      <left/>
      <right/>
      <top/>
      <bottom style="thin">
        <color rgb="00DCE3E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2" fillId="5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indent="1"/>
    </xf>
    <xf numFmtId="0" fontId="8" fillId="3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center" vertical="center"/>
    </xf>
    <xf numFmtId="165" fontId="8" fillId="3" borderId="2" applyAlignment="1" pivotButton="0" quotePrefix="0" xfId="0">
      <alignment horizontal="center" vertical="center"/>
    </xf>
    <xf numFmtId="165" fontId="8" fillId="4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6" fontId="8" fillId="3" borderId="2" applyAlignment="1" pivotButton="0" quotePrefix="0" xfId="0">
      <alignment horizontal="center" vertical="center"/>
    </xf>
    <xf numFmtId="166" fontId="8" fillId="4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167" fontId="8" fillId="3" borderId="2" applyAlignment="1" pivotButton="0" quotePrefix="0" xfId="0">
      <alignment horizontal="center" vertical="center"/>
    </xf>
    <xf numFmtId="167" fontId="8" fillId="4" borderId="3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0" applyAlignment="1" pivotButton="0" quotePrefix="0" xfId="0">
      <alignment horizontal="left" vertical="center"/>
    </xf>
    <xf numFmtId="0" fontId="8" fillId="4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0" fillId="3" borderId="2" pivotButton="0" quotePrefix="0" xfId="0"/>
    <xf numFmtId="164" fontId="6" fillId="4" borderId="3" pivotButton="0" quotePrefix="0" xfId="0"/>
    <xf numFmtId="166" fontId="6" fillId="4" borderId="3" pivotButton="0" quotePrefix="0" xfId="0"/>
    <xf numFmtId="166" fontId="0" fillId="3" borderId="2" pivotButton="0" quotePrefix="0" xfId="0"/>
    <xf numFmtId="165" fontId="8" fillId="4" borderId="3" pivotButton="0" quotePrefix="0" xfId="0"/>
    <xf numFmtId="0" fontId="9" fillId="0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color rgb="001E9E6A"/>
        <sz val="9.5"/>
      </font>
      <fill>
        <patternFill patternType="solid">
          <fgColor rgb="00E6F4EC"/>
        </patternFill>
      </fill>
    </dxf>
    <dxf>
      <font>
        <name val="Calibri"/>
        <color rgb="00B26B00"/>
        <sz val="9.5"/>
      </font>
      <fill>
        <patternFill patternType="solid">
          <fgColor rgb="00FBEFD6"/>
        </patternFill>
      </fill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29.2" customWidth="1" min="2" max="2"/>
    <col width="16" customWidth="1" min="3" max="3"/>
    <col width="14" customWidth="1" min="4" max="4"/>
    <col width="14" customWidth="1" min="5" max="5"/>
    <col width="28.2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Launch &amp; First 100 Days</t>
        </is>
      </c>
    </row>
    <row r="2" ht="20" customHeight="1">
      <c r="B2" s="2" t="inlineStr">
        <is>
          <t>Phase 6 · Soft open → grand open → 100-day scorecard</t>
        </is>
      </c>
    </row>
    <row r="3" ht="3" customHeight="1">
      <c r="B3" s="3" t="n"/>
      <c r="C3" s="3" t="n"/>
      <c r="D3" s="3" t="n"/>
      <c r="E3" s="3" t="n"/>
      <c r="F3" s="3" t="n"/>
      <c r="G3" s="3" t="n"/>
    </row>
    <row r="4" ht="24" customHeight="1">
      <c r="B4" s="4" t="inlineStr">
        <is>
          <t>LAUNCH TIMELINE</t>
        </is>
      </c>
      <c r="C4" s="5" t="n"/>
      <c r="D4" s="5" t="n"/>
      <c r="E4" s="5" t="n"/>
      <c r="F4" s="5" t="n"/>
      <c r="G4" s="5" t="n"/>
    </row>
    <row r="5" ht="30" customHeight="1">
      <c r="B5" s="6" t="inlineStr">
        <is>
          <t>Milestone</t>
        </is>
      </c>
      <c r="C5" s="6" t="inlineStr">
        <is>
          <t>Day</t>
        </is>
      </c>
      <c r="D5" s="6" t="inlineStr">
        <is>
          <t>Owner</t>
        </is>
      </c>
      <c r="E5" s="6" t="inlineStr">
        <is>
          <t>Status</t>
        </is>
      </c>
      <c r="F5" s="6" t="inlineStr">
        <is>
          <t>Success measure</t>
        </is>
      </c>
      <c r="G5" s="6" t="inlineStr"/>
    </row>
    <row r="6" ht="19" customHeight="1">
      <c r="B6" s="7" t="inlineStr">
        <is>
          <t>Friends &amp; family soft open</t>
        </is>
      </c>
      <c r="C6" s="8" t="inlineStr">
        <is>
          <t>-7</t>
        </is>
      </c>
      <c r="D6" s="9" t="inlineStr">
        <is>
          <t>GM</t>
        </is>
      </c>
      <c r="E6" s="8" t="inlineStr">
        <is>
          <t>Not started</t>
        </is>
      </c>
      <c r="F6" s="9" t="inlineStr">
        <is>
          <t>Snag list cleared</t>
        </is>
      </c>
      <c r="G6" s="9" t="n"/>
    </row>
    <row r="7" ht="19" customHeight="1">
      <c r="B7" s="10" t="inlineStr">
        <is>
          <t>Staff dry-run service</t>
        </is>
      </c>
      <c r="C7" s="8" t="inlineStr">
        <is>
          <t>-3</t>
        </is>
      </c>
      <c r="D7" s="11" t="inlineStr">
        <is>
          <t>FOM</t>
        </is>
      </c>
      <c r="E7" s="8" t="inlineStr">
        <is>
          <t>Not started</t>
        </is>
      </c>
      <c r="F7" s="11" t="inlineStr">
        <is>
          <t>Full guest journey rehearsed</t>
        </is>
      </c>
      <c r="G7" s="11" t="n"/>
    </row>
    <row r="8" ht="19" customHeight="1">
      <c r="B8" s="7" t="inlineStr">
        <is>
          <t>Soft opening (50% inventory)</t>
        </is>
      </c>
      <c r="C8" s="8" t="inlineStr">
        <is>
          <t>1</t>
        </is>
      </c>
      <c r="D8" s="9" t="inlineStr">
        <is>
          <t>GM</t>
        </is>
      </c>
      <c r="E8" s="8" t="inlineStr">
        <is>
          <t>Not started</t>
        </is>
      </c>
      <c r="F8" s="9" t="inlineStr">
        <is>
          <t>≥60% occ, no critical faults</t>
        </is>
      </c>
      <c r="G8" s="9" t="n"/>
    </row>
    <row r="9" ht="19" customHeight="1">
      <c r="B9" s="10" t="inlineStr">
        <is>
          <t>Grand opening event</t>
        </is>
      </c>
      <c r="C9" s="8" t="inlineStr">
        <is>
          <t>14</t>
        </is>
      </c>
      <c r="D9" s="11" t="inlineStr">
        <is>
          <t>Marketing</t>
        </is>
      </c>
      <c r="E9" s="8" t="inlineStr">
        <is>
          <t>Not started</t>
        </is>
      </c>
      <c r="F9" s="11" t="inlineStr">
        <is>
          <t>Press + 100 guests</t>
        </is>
      </c>
      <c r="G9" s="11" t="n"/>
    </row>
    <row r="10" ht="19" customHeight="1">
      <c r="B10" s="7" t="inlineStr">
        <is>
          <t>Full inventory live</t>
        </is>
      </c>
      <c r="C10" s="8" t="inlineStr">
        <is>
          <t>21</t>
        </is>
      </c>
      <c r="D10" s="9" t="inlineStr">
        <is>
          <t>GM</t>
        </is>
      </c>
      <c r="E10" s="8" t="inlineStr">
        <is>
          <t>Not started</t>
        </is>
      </c>
      <c r="F10" s="9" t="inlineStr">
        <is>
          <t>All 24 rooms sellable</t>
        </is>
      </c>
      <c r="G10" s="9" t="n"/>
    </row>
    <row r="11" ht="19" customHeight="1">
      <c r="B11" s="10" t="inlineStr">
        <is>
          <t>100-day review</t>
        </is>
      </c>
      <c r="C11" s="8" t="inlineStr">
        <is>
          <t>100</t>
        </is>
      </c>
      <c r="D11" s="11" t="inlineStr">
        <is>
          <t>GM</t>
        </is>
      </c>
      <c r="E11" s="8" t="inlineStr">
        <is>
          <t>Not started</t>
        </is>
      </c>
      <c r="F11" s="11" t="inlineStr">
        <is>
          <t>Scorecard green</t>
        </is>
      </c>
      <c r="G11" s="11" t="n"/>
    </row>
    <row r="12"/>
    <row r="13" ht="24" customHeight="1">
      <c r="B13" s="4" t="inlineStr">
        <is>
          <t>100-DAY SCORECARD</t>
        </is>
      </c>
      <c r="C13" s="5" t="n"/>
      <c r="D13" s="5" t="n"/>
      <c r="E13" s="5" t="n"/>
      <c r="F13" s="5" t="n"/>
      <c r="G13" s="5" t="n"/>
    </row>
    <row r="14" ht="30" customHeight="1">
      <c r="B14" s="6" t="inlineStr">
        <is>
          <t>KPI</t>
        </is>
      </c>
      <c r="C14" s="6" t="inlineStr">
        <is>
          <t>Day-100 actual</t>
        </is>
      </c>
      <c r="D14" s="6" t="inlineStr">
        <is>
          <t>Target</t>
        </is>
      </c>
      <c r="E14" s="6" t="inlineStr">
        <is>
          <t>Status</t>
        </is>
      </c>
      <c r="F14" s="6" t="inlineStr"/>
      <c r="G14" s="6" t="inlineStr"/>
    </row>
    <row r="15" ht="19" customHeight="1">
      <c r="B15" s="7" t="inlineStr">
        <is>
          <t>Occupancy</t>
        </is>
      </c>
      <c r="C15" s="12" t="n">
        <v>0.74</v>
      </c>
      <c r="D15" s="13" t="n">
        <v>0.72</v>
      </c>
      <c r="E15" s="14">
        <f>IF(C15="","",IF(C15&gt;=0.7,"🟢 On target",IF(C15&gt;=0.55,"🟡 Watch","🔴 Action")))</f>
        <v/>
      </c>
      <c r="F15" s="9" t="n"/>
      <c r="G15" s="9" t="n"/>
    </row>
    <row r="16" ht="19" customHeight="1">
      <c r="B16" s="10" t="inlineStr">
        <is>
          <t>ADR (Avg Daily Rate)</t>
        </is>
      </c>
      <c r="C16" s="15" t="n">
        <v>138</v>
      </c>
      <c r="D16" s="16" t="n">
        <v>135</v>
      </c>
      <c r="E16" s="17">
        <f>IF(C16="","",IF(C16&gt;=130,"🟢 On target",IF(C16&gt;=110,"🟡 Watch","🔴 Action")))</f>
        <v/>
      </c>
      <c r="F16" s="11" t="n"/>
      <c r="G16" s="11" t="n"/>
    </row>
    <row r="17" ht="19" customHeight="1">
      <c r="B17" s="7" t="inlineStr">
        <is>
          <t>RevPAR</t>
        </is>
      </c>
      <c r="C17" s="15" t="n">
        <v>102</v>
      </c>
      <c r="D17" s="16" t="n">
        <v>97</v>
      </c>
      <c r="E17" s="14">
        <f>IF(C17="","",IF(C17&gt;=90,"🟢 On target",IF(C17&gt;=70,"🟡 Watch","🔴 Action")))</f>
        <v/>
      </c>
      <c r="F17" s="9" t="n"/>
      <c r="G17" s="9" t="n"/>
    </row>
    <row r="18" ht="19" customHeight="1">
      <c r="B18" s="10" t="inlineStr">
        <is>
          <t>Guest NPS</t>
        </is>
      </c>
      <c r="C18" s="18" t="n">
        <v>58</v>
      </c>
      <c r="D18" s="19" t="n">
        <v>60</v>
      </c>
      <c r="E18" s="17">
        <f>IF(C18="","",IF(C18&gt;=50,"🟢 On target",IF(C18&gt;=30,"🟡 Watch","🔴 Action")))</f>
        <v/>
      </c>
      <c r="F18" s="11" t="n"/>
      <c r="G18" s="11" t="n"/>
    </row>
    <row r="19" ht="19" customHeight="1">
      <c r="B19" s="7" t="inlineStr">
        <is>
          <t>Direct booking %</t>
        </is>
      </c>
      <c r="C19" s="12" t="n">
        <v>0.38</v>
      </c>
      <c r="D19" s="13" t="n">
        <v>0.4</v>
      </c>
      <c r="E19" s="14">
        <f>IF(C19="","",IF(C19&gt;=0.4,"🟢 On target",IF(C19&gt;=0.25,"🟡 Watch","🔴 Action")))</f>
        <v/>
      </c>
      <c r="F19" s="9" t="n"/>
      <c r="G19" s="9" t="n"/>
    </row>
    <row r="20" ht="19" customHeight="1">
      <c r="B20" s="10" t="inlineStr">
        <is>
          <t>Repeat guest %</t>
        </is>
      </c>
      <c r="C20" s="12" t="n">
        <v>0.27</v>
      </c>
      <c r="D20" s="13" t="n">
        <v>0.25</v>
      </c>
      <c r="E20" s="17">
        <f>IF(C20="","",IF(C20&gt;=0.25,"🟢 On target",IF(C20&gt;=0.15,"🟡 Watch","🔴 Action")))</f>
        <v/>
      </c>
      <c r="F20" s="11" t="n"/>
      <c r="G20" s="11" t="n"/>
    </row>
    <row r="21"/>
    <row r="22" ht="24" customHeight="1">
      <c r="B22" s="4" t="inlineStr">
        <is>
          <t>CONTINGENCY TRIGGERS</t>
        </is>
      </c>
      <c r="C22" s="5" t="n"/>
      <c r="D22" s="5" t="n"/>
      <c r="E22" s="5" t="n"/>
      <c r="F22" s="5" t="n"/>
      <c r="G22" s="5" t="n"/>
    </row>
    <row r="23" ht="30" customHeight="1">
      <c r="B23" s="6" t="inlineStr">
        <is>
          <t>If this happens…</t>
        </is>
      </c>
      <c r="C23" s="6" t="inlineStr">
        <is>
          <t>Trigger level</t>
        </is>
      </c>
      <c r="D23" s="6" t="inlineStr">
        <is>
          <t>Then do this</t>
        </is>
      </c>
      <c r="E23" s="6" t="inlineStr"/>
      <c r="F23" s="6" t="inlineStr"/>
      <c r="G23" s="6" t="inlineStr"/>
    </row>
    <row r="24" ht="19" customHeight="1">
      <c r="B24" s="7" t="inlineStr">
        <is>
          <t>Occupancy &lt; 50% for 2 wks</t>
        </is>
      </c>
      <c r="C24" s="9" t="inlineStr">
        <is>
          <t>Red</t>
        </is>
      </c>
      <c r="D24" s="9" t="inlineStr">
        <is>
          <t>Tactical OTA push + rate review</t>
        </is>
      </c>
      <c r="E24" s="20" t="n"/>
      <c r="F24" s="20" t="n"/>
      <c r="G24" s="9" t="n"/>
    </row>
    <row r="25" ht="19" customHeight="1">
      <c r="B25" s="10" t="inlineStr">
        <is>
          <t>Cash buffer &lt; €25k</t>
        </is>
      </c>
      <c r="C25" s="11" t="inlineStr">
        <is>
          <t>Red</t>
        </is>
      </c>
      <c r="D25" s="11" t="inlineStr">
        <is>
          <t>Draw contingency / defer capex</t>
        </is>
      </c>
      <c r="E25" s="20" t="n"/>
      <c r="F25" s="20" t="n"/>
      <c r="G25" s="11" t="n"/>
    </row>
    <row r="26" ht="19" customHeight="1">
      <c r="B26" s="7" t="inlineStr">
        <is>
          <t>NPS &lt; 30</t>
        </is>
      </c>
      <c r="C26" s="9" t="inlineStr">
        <is>
          <t>Amber</t>
        </is>
      </c>
      <c r="D26" s="9" t="inlineStr">
        <is>
          <t>Service huddle + recovery training</t>
        </is>
      </c>
      <c r="E26" s="20" t="n"/>
      <c r="F26" s="20" t="n"/>
      <c r="G26" s="9" t="n"/>
    </row>
    <row r="27" ht="19" customHeight="1">
      <c r="B27" s="10" t="inlineStr">
        <is>
          <t>Staff turnover &gt; 45%</t>
        </is>
      </c>
      <c r="C27" s="11" t="inlineStr">
        <is>
          <t>Amber</t>
        </is>
      </c>
      <c r="D27" s="11" t="inlineStr">
        <is>
          <t>Pay/benefits review + exit interviews</t>
        </is>
      </c>
      <c r="E27" s="20" t="n"/>
      <c r="F27" s="20" t="n"/>
      <c r="G27" s="11" t="n"/>
    </row>
    <row r="28"/>
    <row r="29">
      <c r="B29" s="21" t="inlineStr">
        <is>
          <t>Scale-up go / no-go</t>
        </is>
      </c>
      <c r="D29" s="22">
        <f>IF(COUNTIF(E15:E20,"*On target*")&gt;=4,"GO — scale","HOLD — stabilise")</f>
        <v/>
      </c>
      <c r="E29" s="20" t="n"/>
    </row>
    <row r="30"/>
    <row r="31" ht="22" customHeight="1">
      <c r="B31" s="23" t="inlineStr">
        <is>
          <t>ASSET-FORGE · LEANTA Turnkey Pack · Boutique Hotel · v1.0 · 04/06/2026 · Phase 6 of 6</t>
        </is>
      </c>
    </row>
  </sheetData>
  <mergeCells count="11">
    <mergeCell ref="B2:G2"/>
    <mergeCell ref="B31:K31"/>
    <mergeCell ref="D27:F27"/>
    <mergeCell ref="B22:G22"/>
    <mergeCell ref="D29:E29"/>
    <mergeCell ref="B1:G1"/>
    <mergeCell ref="B4:G4"/>
    <mergeCell ref="D26:F26"/>
    <mergeCell ref="B13:G13"/>
    <mergeCell ref="D25:F25"/>
    <mergeCell ref="D24:F24"/>
  </mergeCells>
  <conditionalFormatting sqref="E15:E20">
    <cfRule type="expression" priority="1" dxfId="0">
      <formula>ISNUMBER(SEARCH("On target",E15))</formula>
    </cfRule>
    <cfRule type="expression" priority="2" dxfId="1">
      <formula>ISNUMBER(SEARCH("Watch",E15))</formula>
    </cfRule>
    <cfRule type="expression" priority="3" dxfId="2">
      <formula>ISNUMBER(SEARCH("Action",E15))</formula>
    </cfRule>
  </conditionalFormatting>
  <dataValidations count="1">
    <dataValidation sqref="E6 E7 E8 E9 E10 E11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4" t="inlineStr">
        <is>
          <t>DEMAND &amp; RATE</t>
        </is>
      </c>
      <c r="C4" s="5" t="n"/>
      <c r="D4" s="5" t="n"/>
      <c r="E4" s="5" t="n"/>
      <c r="F4" s="5" t="n"/>
    </row>
    <row r="5" ht="18" customHeight="1">
      <c r="B5" s="24" t="inlineStr">
        <is>
          <t>Rooms available</t>
        </is>
      </c>
      <c r="D5" s="25" t="n">
        <v>24</v>
      </c>
    </row>
    <row r="6" ht="18" customHeight="1">
      <c r="B6" s="24" t="inlineStr">
        <is>
          <t>ADR — average daily rate</t>
        </is>
      </c>
      <c r="D6" s="26" t="n">
        <v>135</v>
      </c>
      <c r="F6" s="27" t="inlineStr">
        <is>
          <t>4★ boutique IE €110–180</t>
        </is>
      </c>
    </row>
    <row r="7" ht="18" customHeight="1">
      <c r="B7" s="24" t="inlineStr">
        <is>
          <t>Occupancy</t>
        </is>
      </c>
      <c r="D7" s="28" t="n">
        <v>0.72</v>
      </c>
      <c r="F7" s="27" t="inlineStr">
        <is>
          <t>annualised; 65–80% typical</t>
        </is>
      </c>
    </row>
    <row r="8" ht="18" customHeight="1">
      <c r="B8" s="24" t="inlineStr">
        <is>
          <t>RevPAR (ADR × occupancy)</t>
        </is>
      </c>
      <c r="D8" s="29">
        <f>'Assumptions'!D6*'Assumptions'!D7</f>
        <v/>
      </c>
    </row>
    <row r="9" ht="18" customHeight="1">
      <c r="B9" s="24" t="inlineStr">
        <is>
          <t>F&amp;B + other revenue (% of rooms)</t>
        </is>
      </c>
      <c r="D9" s="28" t="n">
        <v>0.28</v>
      </c>
    </row>
    <row r="10" ht="18" customHeight="1">
      <c r="B10" s="24" t="inlineStr">
        <is>
          <t>Rooms revenue / yr</t>
        </is>
      </c>
      <c r="D10" s="30">
        <f>'Assumptions'!D5*365*'Assumptions'!D8</f>
        <v/>
      </c>
    </row>
    <row r="11" ht="18" customHeight="1">
      <c r="B11" s="24" t="inlineStr">
        <is>
          <t>Total revenue / yr</t>
        </is>
      </c>
      <c r="D11" s="30">
        <f>'Assumptions'!D10*(1+'Assumptions'!D9)</f>
        <v/>
      </c>
    </row>
    <row r="12"/>
    <row r="13" ht="24" customHeight="1">
      <c r="B13" s="4" t="inlineStr">
        <is>
          <t>COST RATIOS</t>
        </is>
      </c>
      <c r="C13" s="5" t="n"/>
      <c r="D13" s="5" t="n"/>
      <c r="E13" s="5" t="n"/>
      <c r="F13" s="5" t="n"/>
    </row>
    <row r="14" ht="18" customHeight="1">
      <c r="B14" s="24" t="inlineStr">
        <is>
          <t>Payroll (% of total revenue)</t>
        </is>
      </c>
      <c r="D14" s="28" t="n">
        <v>0.3</v>
      </c>
    </row>
    <row r="15" ht="18" customHeight="1">
      <c r="B15" s="24" t="inlineStr">
        <is>
          <t>F&amp;B cost (% of F&amp;B revenue)</t>
        </is>
      </c>
      <c r="D15" s="28" t="n">
        <v>0.3</v>
      </c>
    </row>
    <row r="16" ht="18" customHeight="1">
      <c r="B16" s="24" t="inlineStr">
        <is>
          <t>Rooms cost (% of rooms revenue)</t>
        </is>
      </c>
      <c r="D16" s="28" t="n">
        <v>0.1</v>
      </c>
    </row>
    <row r="17" ht="18" customHeight="1">
      <c r="B17" s="24" t="inlineStr">
        <is>
          <t>Utilities (% of total revenue)</t>
        </is>
      </c>
      <c r="D17" s="28" t="n">
        <v>0.05</v>
      </c>
    </row>
    <row r="18" ht="18" customHeight="1">
      <c r="B18" s="24" t="inlineStr">
        <is>
          <t>Sales &amp; marketing (% of revenue)</t>
        </is>
      </c>
      <c r="D18" s="28" t="n">
        <v>0.06</v>
      </c>
    </row>
    <row r="19" ht="18" customHeight="1">
      <c r="B19" s="24" t="inlineStr">
        <is>
          <t>Admin &amp; general (% of revenue)</t>
        </is>
      </c>
      <c r="D19" s="28" t="n">
        <v>0.05</v>
      </c>
    </row>
    <row r="20" ht="18" customHeight="1">
      <c r="B20" s="24" t="inlineStr">
        <is>
          <t>Property: rent/rates/insurance (%)</t>
        </is>
      </c>
      <c r="D20" s="28" t="n">
        <v>0.12</v>
      </c>
    </row>
    <row r="21"/>
    <row r="22" ht="24" customHeight="1">
      <c r="B22" s="4" t="inlineStr">
        <is>
          <t>CAPITAL EXPENDITURE (FIT-OUT LED — LEASED PROPERTY)</t>
        </is>
      </c>
      <c r="C22" s="5" t="n"/>
      <c r="D22" s="5" t="n"/>
      <c r="E22" s="5" t="n"/>
      <c r="F22" s="5" t="n"/>
    </row>
    <row r="23" ht="18" customHeight="1">
      <c r="B23" s="24" t="inlineStr">
        <is>
          <t>Lease deposit &amp; legal</t>
        </is>
      </c>
      <c r="D23" s="31" t="n">
        <v>45000</v>
      </c>
    </row>
    <row r="24" ht="18" customHeight="1">
      <c r="B24" s="24" t="inlineStr">
        <is>
          <t>Building refurbishment &amp; fit-out</t>
        </is>
      </c>
      <c r="D24" s="31" t="n">
        <v>240000</v>
      </c>
    </row>
    <row r="25" ht="18" customHeight="1">
      <c r="B25" s="24" t="inlineStr">
        <is>
          <t>FF&amp;E (rooms, beds, furniture)</t>
        </is>
      </c>
      <c r="D25" s="31" t="n">
        <v>120000</v>
      </c>
    </row>
    <row r="26" ht="18" customHeight="1">
      <c r="B26" s="24" t="inlineStr">
        <is>
          <t>Kitchen &amp; F&amp;B equipment</t>
        </is>
      </c>
      <c r="D26" s="31" t="n">
        <v>55000</v>
      </c>
    </row>
    <row r="27" ht="18" customHeight="1">
      <c r="B27" s="24" t="inlineStr">
        <is>
          <t>IT, PMS, POS &amp; networking</t>
        </is>
      </c>
      <c r="D27" s="31" t="n">
        <v>30000</v>
      </c>
    </row>
    <row r="28" ht="18" customHeight="1">
      <c r="B28" s="24" t="inlineStr">
        <is>
          <t>Branding, signage &amp; website</t>
        </is>
      </c>
      <c r="D28" s="31" t="n">
        <v>25000</v>
      </c>
    </row>
    <row r="29" ht="18" customHeight="1">
      <c r="B29" s="24" t="inlineStr">
        <is>
          <t>Pre-opening payroll &amp; training</t>
        </is>
      </c>
      <c r="D29" s="31" t="n">
        <v>35000</v>
      </c>
    </row>
    <row r="30" ht="18" customHeight="1">
      <c r="B30" s="24" t="inlineStr">
        <is>
          <t>Working capital buffer</t>
        </is>
      </c>
      <c r="D30" s="31" t="n">
        <v>50000</v>
      </c>
    </row>
    <row r="31">
      <c r="B31" s="21" t="inlineStr">
        <is>
          <t>Total capex required</t>
        </is>
      </c>
      <c r="D31" s="30">
        <f>SUM(D23:D30)</f>
        <v/>
      </c>
    </row>
    <row r="32"/>
    <row r="33" ht="24" customHeight="1">
      <c r="B33" s="4" t="inlineStr">
        <is>
          <t>FUNDING MIX</t>
        </is>
      </c>
      <c r="C33" s="5" t="n"/>
      <c r="D33" s="5" t="n"/>
      <c r="E33" s="5" t="n"/>
      <c r="F33" s="5" t="n"/>
    </row>
    <row r="34" ht="18" customHeight="1">
      <c r="B34" s="24" t="inlineStr">
        <is>
          <t>Founder equity (incl. SURE refund)</t>
        </is>
      </c>
      <c r="D34" s="31" t="n">
        <v>180000</v>
      </c>
      <c r="F34" s="32">
        <f>IF($D$34="","",D34/SUM($D$34:$D$37))</f>
        <v/>
      </c>
    </row>
    <row r="35" ht="18" customHeight="1">
      <c r="B35" s="24" t="inlineStr">
        <is>
          <t>LEO Priming grant</t>
        </is>
      </c>
      <c r="D35" s="31" t="n">
        <v>80000</v>
      </c>
      <c r="F35" s="32">
        <f>IF($D$35="","",D35/SUM($D$34:$D$37))</f>
        <v/>
      </c>
    </row>
    <row r="36" ht="18" customHeight="1">
      <c r="B36" s="24" t="inlineStr">
        <is>
          <t>Bank / SBCI term loan</t>
        </is>
      </c>
      <c r="D36" s="31" t="n">
        <v>300000</v>
      </c>
      <c r="F36" s="32">
        <f>IF($D$36="","",D36/SUM($D$34:$D$37))</f>
        <v/>
      </c>
    </row>
    <row r="37" ht="18" customHeight="1">
      <c r="B37" s="24" t="inlineStr">
        <is>
          <t>Microfinance Ireland loan</t>
        </is>
      </c>
      <c r="D37" s="31" t="n">
        <v>40000</v>
      </c>
      <c r="F37" s="32">
        <f>IF($D$37="","",D37/SUM($D$34:$D$37))</f>
        <v/>
      </c>
    </row>
    <row r="38">
      <c r="B38" s="21" t="inlineStr">
        <is>
          <t>Total funding raised</t>
        </is>
      </c>
      <c r="D38" s="30">
        <f>SUM(D34:D37)</f>
        <v/>
      </c>
    </row>
    <row r="39">
      <c r="B39" s="33" t="inlineStr">
        <is>
          <t>Funding vs capex (surplus/gap)</t>
        </is>
      </c>
      <c r="D39" s="30">
        <f>'Assumptions'!D38-'Assumptions'!D31</f>
        <v/>
      </c>
    </row>
    <row r="40"/>
    <row r="41" ht="24" customHeight="1">
      <c r="B41" s="4" t="inlineStr">
        <is>
          <t>SOURCES &amp; BENCHMARK NOTES</t>
        </is>
      </c>
      <c r="C41" s="5" t="n"/>
      <c r="D41" s="5" t="n"/>
      <c r="E41" s="5" t="n"/>
      <c r="F41" s="5" t="n"/>
    </row>
    <row r="42" ht="30" customHeight="1">
      <c r="B42" s="34" t="inlineStr">
        <is>
          <t xml:space="preserve">  ADR/occupancy/RevPAR: Fáilte Ireland Hotel Survey 2024 — 4★ ADR €143.50–€144.49, occupancy 60.2% (Dec) → 74.1% (Nov), RevPAR €86.42–€107.07.</t>
        </is>
      </c>
    </row>
    <row r="43" ht="30" customHeight="1">
      <c r="B43" s="34" t="inlineStr">
        <is>
          <t xml:space="preserve">  Cost ratios: hospitality labour 25–35% of revenue (US long-run 31.2%); USALI F&amp;B cost-of-sales; GOP margin ~36–38% (HotelData 2025). See `startup_benchmarks` table.</t>
        </is>
      </c>
    </row>
    <row r="44" ht="30" customHeight="1">
      <c r="B44" s="34" t="inlineStr">
        <is>
          <t xml:space="preserve">  Grant/funding figures: Local Enterprise Office (localenterprise.ie), Microfinance Ireland, SBCI, Fáilte Ireland investment schemes.</t>
        </is>
      </c>
    </row>
    <row r="45" ht="30" customHeight="1">
      <c r="B45" s="34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3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Launch &amp; First 100 Days</dc:title>
  <dcterms:created xsi:type="dcterms:W3CDTF">2026-06-04T13:30:31Z</dcterms:created>
  <dcterms:modified xsi:type="dcterms:W3CDTF">2026-06-04T13:30:31Z</dcterms:modified>
</cp:coreProperties>
</file>