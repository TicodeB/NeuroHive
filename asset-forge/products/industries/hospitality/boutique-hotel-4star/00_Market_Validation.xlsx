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Validation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&quot;€&quot;"/>
    <numFmt numFmtId="165" formatCode="0.0%"/>
    <numFmt numFmtId="166" formatCode="#,##0\ &quot;€&quot;"/>
    <numFmt numFmtId="167" formatCode="0.0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i val="1"/>
      <color rgb="006B7280"/>
      <sz val="8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6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  <border>
      <left/>
      <right/>
      <top/>
      <bottom style="thin">
        <color rgb="00DCE3ED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2" fillId="5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3" fontId="8" fillId="4" borderId="3" applyAlignment="1" pivotButton="0" quotePrefix="0" xfId="0">
      <alignment horizontal="center" vertical="center"/>
    </xf>
    <xf numFmtId="166" fontId="8" fillId="4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3" fontId="6" fillId="4" borderId="3" pivotButton="0" quotePrefix="0" xfId="0"/>
    <xf numFmtId="0" fontId="10" fillId="4" borderId="0" applyAlignment="1" pivotButton="0" quotePrefix="0" xfId="0">
      <alignment horizontal="left" vertical="center" wrapText="1" indent="1"/>
    </xf>
    <xf numFmtId="166" fontId="8" fillId="4" borderId="3" applyAlignment="1" pivotButton="0" quotePrefix="0" xfId="0">
      <alignment horizontal="left" vertical="center" indent="1"/>
    </xf>
    <xf numFmtId="0" fontId="13" fillId="0" borderId="3" applyAlignment="1" pivotButton="0" quotePrefix="0" xfId="0">
      <alignment horizontal="left" vertical="center" wrapText="1"/>
    </xf>
    <xf numFmtId="0" fontId="0" fillId="0" borderId="5" pivotButton="0" quotePrefix="0" xfId="0"/>
    <xf numFmtId="165" fontId="8" fillId="4" borderId="3" applyAlignment="1" pivotButton="0" quotePrefix="0" xfId="0">
      <alignment horizontal="left" vertical="center" indent="1"/>
    </xf>
    <xf numFmtId="0" fontId="13" fillId="6" borderId="3" applyAlignment="1" pivotButton="0" quotePrefix="0" xfId="0">
      <alignment horizontal="left" vertical="center" wrapText="1"/>
    </xf>
    <xf numFmtId="1" fontId="8" fillId="3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7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6" fillId="4" borderId="3" pivotButton="0" quotePrefix="0" xfId="0"/>
    <xf numFmtId="165" fontId="6" fillId="4" borderId="3" pivotButton="0" quotePrefix="0" xfId="0"/>
    <xf numFmtId="167" fontId="8" fillId="4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7" fontId="6" fillId="4" borderId="3" pivotButton="0" quotePrefix="0" xfId="0"/>
    <xf numFmtId="0" fontId="8" fillId="0" borderId="0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0" fillId="3" borderId="2" pivotButton="0" quotePrefix="0" xfId="0"/>
    <xf numFmtId="166" fontId="6" fillId="4" borderId="3" pivotButton="0" quotePrefix="0" xfId="0"/>
    <xf numFmtId="166" fontId="0" fillId="3" borderId="2" pivotButton="0" quotePrefix="0" xfId="0"/>
    <xf numFmtId="165" fontId="8" fillId="4" borderId="3" pivotButton="0" quotePrefix="0" xfId="0"/>
  </cellXfs>
  <cellStyles count="1">
    <cellStyle name="Normal" xfId="0" builtinId="0" hidden="0"/>
  </cellStyles>
  <dxfs count="3">
    <dxf>
      <font>
        <name val="Calibri"/>
        <color rgb="001E9E6A"/>
        <sz val="9.5"/>
      </font>
      <fill>
        <patternFill patternType="solid">
          <fgColor rgb="00E6F4EC"/>
        </patternFill>
      </fill>
    </dxf>
    <dxf>
      <font>
        <name val="Calibri"/>
        <color rgb="00B26B00"/>
        <sz val="9.5"/>
      </font>
      <fill>
        <patternFill patternType="solid">
          <fgColor rgb="00FBEFD6"/>
        </patternFill>
      </fill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K5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3" customWidth="1" min="2" max="2"/>
    <col width="34.6" customWidth="1" min="3" max="3"/>
    <col width="16" customWidth="1" min="4" max="4"/>
    <col width="16" customWidth="1" min="5" max="5"/>
    <col width="23.7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Market Validation</t>
        </is>
      </c>
    </row>
    <row r="2" ht="20" customHeight="1">
      <c r="B2" s="2" t="inlineStr">
        <is>
          <t>Phase 0 · Prove demand before you commit capital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4" customHeight="1">
      <c r="B4" s="4" t="inlineStr">
        <is>
          <t>DEMAND SIZING (CATCHMENT)</t>
        </is>
      </c>
      <c r="C4" s="5" t="n"/>
      <c r="D4" s="5" t="n"/>
      <c r="E4" s="5" t="n"/>
      <c r="F4" s="5" t="n"/>
      <c r="G4" s="5" t="n"/>
    </row>
    <row r="5" ht="30" customHeight="1">
      <c r="B5" s="6" t="inlineStr">
        <is>
          <t>Market layer</t>
        </is>
      </c>
      <c r="C5" s="6" t="inlineStr">
        <is>
          <t>Definition</t>
        </is>
      </c>
      <c r="D5" s="6" t="inlineStr">
        <is>
          <t>Annual room-nights</t>
        </is>
      </c>
      <c r="E5" s="6" t="inlineStr">
        <is>
          <t>Capturable %</t>
        </is>
      </c>
      <c r="F5" s="6" t="inlineStr">
        <is>
          <t>Room-nights</t>
        </is>
      </c>
      <c r="G5" s="6" t="inlineStr">
        <is>
          <t>Revenue @ ADR</t>
        </is>
      </c>
    </row>
    <row r="6" ht="19" customHeight="1">
      <c r="B6" s="7" t="inlineStr">
        <is>
          <t>TAM — total area visitors</t>
        </is>
      </c>
      <c r="C6" s="8" t="inlineStr">
        <is>
          <t>All overnight visitors in catchment</t>
        </is>
      </c>
      <c r="D6" s="9" t="n">
        <v>480000</v>
      </c>
      <c r="E6" s="10" t="n">
        <v>1</v>
      </c>
      <c r="F6" s="11">
        <f>D6*E6</f>
        <v/>
      </c>
      <c r="G6" s="12">
        <f>F6*'Assumptions'!D6</f>
        <v/>
      </c>
    </row>
    <row r="7" ht="19" customHeight="1">
      <c r="B7" s="13" t="inlineStr">
        <is>
          <t>SAM — 4★ boutique segment</t>
        </is>
      </c>
      <c r="C7" s="14" t="inlineStr">
        <is>
          <t>Mid-upscale leisure + business</t>
        </is>
      </c>
      <c r="D7" s="9" t="n">
        <v>96000</v>
      </c>
      <c r="E7" s="10" t="n">
        <v>0.2</v>
      </c>
      <c r="F7" s="11">
        <f>D7*E7</f>
        <v/>
      </c>
      <c r="G7" s="12">
        <f>F7*'Assumptions'!D6</f>
        <v/>
      </c>
    </row>
    <row r="8" ht="19" customHeight="1">
      <c r="B8" s="7" t="inlineStr">
        <is>
          <t>SOM — realistic year-1 share</t>
        </is>
      </c>
      <c r="C8" s="8" t="inlineStr">
        <is>
          <t>What this hotel can win</t>
        </is>
      </c>
      <c r="D8" s="9" t="n">
        <v>6300</v>
      </c>
      <c r="E8" s="10" t="n">
        <v>0.013125</v>
      </c>
      <c r="F8" s="11">
        <f>D8*E8</f>
        <v/>
      </c>
      <c r="G8" s="12">
        <f>F8*'Assumptions'!D6</f>
        <v/>
      </c>
    </row>
    <row r="9"/>
    <row r="10" ht="19" customHeight="1">
      <c r="B10" s="15" t="inlineStr">
        <is>
          <t>Your capacity (rooms×365×occ) room-nights</t>
        </is>
      </c>
      <c r="D10" s="16">
        <f>'Assumptions'!D5*365*'Assumptions'!D7</f>
        <v/>
      </c>
    </row>
    <row r="11" ht="30" customHeight="1">
      <c r="B11" s="17" t="inlineStr">
        <is>
          <t xml:space="preserve">  SOM room-nights should be ≤ your capacity. If SOM &gt; capacity you are capacity-constrained (good problem); if far below, demand is thin.</t>
        </is>
      </c>
    </row>
    <row r="12"/>
    <row r="13" ht="24" customHeight="1">
      <c r="B13" s="4" t="inlineStr">
        <is>
          <t>INDUSTRY BENCHMARK BAND (CITED)</t>
        </is>
      </c>
      <c r="C13" s="5" t="n"/>
      <c r="D13" s="5" t="n"/>
      <c r="E13" s="5" t="n"/>
      <c r="F13" s="5" t="n"/>
      <c r="G13" s="5" t="n"/>
    </row>
    <row r="14" ht="30" customHeight="1">
      <c r="B14" s="6" t="inlineStr">
        <is>
          <t>Metric</t>
        </is>
      </c>
      <c r="C14" s="6" t="inlineStr">
        <is>
          <t>Low</t>
        </is>
      </c>
      <c r="D14" s="6" t="inlineStr">
        <is>
          <t>Typical</t>
        </is>
      </c>
      <c r="E14" s="6" t="inlineStr">
        <is>
          <t>High</t>
        </is>
      </c>
      <c r="F14" s="6" t="inlineStr">
        <is>
          <t>Source</t>
        </is>
      </c>
      <c r="G14" s="6" t="inlineStr"/>
    </row>
    <row r="15" ht="30" customHeight="1">
      <c r="B15" s="7" t="inlineStr">
        <is>
          <t>ADR — 4★ average daily rate</t>
        </is>
      </c>
      <c r="C15" s="18" t="n">
        <v>127</v>
      </c>
      <c r="D15" s="18" t="n">
        <v>144</v>
      </c>
      <c r="E15" s="18" t="n">
        <v>241</v>
      </c>
      <c r="F15" s="19" t="inlineStr">
        <is>
          <t>Fáilte Ireland Hotel Survey Nov/Dec 2024 (4★ ADR €143.50–€144.49; county range €127–€241)</t>
        </is>
      </c>
      <c r="G15" s="20" t="n"/>
    </row>
    <row r="16" ht="30" customHeight="1">
      <c r="B16" s="13" t="inlineStr">
        <is>
          <t>Occupancy — 4★</t>
        </is>
      </c>
      <c r="C16" s="21" t="n">
        <v>0.602</v>
      </c>
      <c r="D16" s="21" t="n">
        <v>0.7</v>
      </c>
      <c r="E16" s="21" t="n">
        <v>0.741</v>
      </c>
      <c r="F16" s="22" t="inlineStr">
        <is>
          <t>Fáilte Ireland Hotel Survey 2024 (4★ occ 60.2% Dec → 74.1% Nov)</t>
        </is>
      </c>
      <c r="G16" s="20" t="n"/>
    </row>
    <row r="17" ht="30" customHeight="1">
      <c r="B17" s="7" t="inlineStr">
        <is>
          <t>RevPAR — 4★</t>
        </is>
      </c>
      <c r="C17" s="18" t="n">
        <v>86.42</v>
      </c>
      <c r="D17" s="18" t="n">
        <v>97</v>
      </c>
      <c r="E17" s="18" t="n">
        <v>107.07</v>
      </c>
      <c r="F17" s="19" t="inlineStr">
        <is>
          <t>Fáilte Ireland Hotel Survey 2024 (4★ RevPAR €86.42 Dec → €107.07 Nov)</t>
        </is>
      </c>
      <c r="G17" s="20" t="n"/>
    </row>
    <row r="18" ht="30" customHeight="1">
      <c r="B18" s="13" t="inlineStr">
        <is>
          <t>Labour cost (% of total revenue)</t>
        </is>
      </c>
      <c r="C18" s="21" t="n">
        <v>0.25</v>
      </c>
      <c r="D18" s="21" t="n">
        <v>0.31</v>
      </c>
      <c r="E18" s="21" t="n">
        <v>0.35</v>
      </c>
      <c r="F18" s="22" t="inlineStr">
        <is>
          <t>Hospitality labour benchmark 25–35% of revenue; US long-run 31.2% (Mandelbaum/CBRE; altametrics)</t>
        </is>
      </c>
      <c r="G18" s="20" t="n"/>
    </row>
    <row r="19" ht="30" customHeight="1">
      <c r="B19" s="7" t="inlineStr">
        <is>
          <t>F&amp;B cost (% of F&amp;B revenue)</t>
        </is>
      </c>
      <c r="C19" s="21" t="n">
        <v>0.18</v>
      </c>
      <c r="D19" s="21" t="n">
        <v>0.28</v>
      </c>
      <c r="E19" s="21" t="n">
        <v>0.35</v>
      </c>
      <c r="F19" s="19" t="inlineStr">
        <is>
          <t>USALI F&amp;B cost-of-sales; academic luxury 17.86% (US) – 23.87% (Asia)</t>
        </is>
      </c>
      <c r="G19" s="20" t="n"/>
    </row>
    <row r="20" ht="30" customHeight="1">
      <c r="B20" s="13" t="inlineStr">
        <is>
          <t>Rooms dept cost ex-payroll (% of rooms rev)</t>
        </is>
      </c>
      <c r="C20" s="21" t="n">
        <v>0.08</v>
      </c>
      <c r="D20" s="21" t="n">
        <v>0.12</v>
      </c>
      <c r="E20" s="21" t="n">
        <v>0.18</v>
      </c>
      <c r="F20" s="22" t="inlineStr">
        <is>
          <t>USALI rooms departmental expense (rooms expense ~27–28% incl. labour; ex-labour ~8–18%)</t>
        </is>
      </c>
      <c r="G20" s="20" t="n"/>
    </row>
    <row r="21" ht="30" customHeight="1">
      <c r="B21" s="7" t="inlineStr">
        <is>
          <t>GOP margin (% of total revenue)</t>
        </is>
      </c>
      <c r="C21" s="21" t="n">
        <v>0.3</v>
      </c>
      <c r="D21" s="21" t="n">
        <v>0.36</v>
      </c>
      <c r="E21" s="21" t="n">
        <v>0.383</v>
      </c>
      <c r="F21" s="19" t="inlineStr">
        <is>
          <t>HotelData Q4-2025 full-year GOP margin 38.3%; academic luxury 33.2–36.7%</t>
        </is>
      </c>
      <c r="G21" s="20" t="n"/>
    </row>
    <row r="22" ht="30" customHeight="1">
      <c r="B22" s="17" t="inlineStr">
        <is>
          <t xml:space="preserve">  Compare your Assumptions against these published bands; stay within Typical–High to be credible to lenders/grant assessors.</t>
        </is>
      </c>
    </row>
    <row r="23"/>
    <row r="24" ht="24" customHeight="1">
      <c r="B24" s="4" t="inlineStr">
        <is>
          <t>COMPETITOR MATRIX</t>
        </is>
      </c>
      <c r="C24" s="5" t="n"/>
      <c r="D24" s="5" t="n"/>
      <c r="E24" s="5" t="n"/>
      <c r="F24" s="5" t="n"/>
      <c r="G24" s="5" t="n"/>
    </row>
    <row r="25" ht="30" customHeight="1">
      <c r="B25" s="6" t="inlineStr">
        <is>
          <t>Competitor</t>
        </is>
      </c>
      <c r="C25" s="6" t="inlineStr">
        <is>
          <t>Rooms</t>
        </is>
      </c>
      <c r="D25" s="6" t="inlineStr">
        <is>
          <t>Est. ADR €</t>
        </is>
      </c>
      <c r="E25" s="6" t="inlineStr">
        <is>
          <t>Rating /5</t>
        </is>
      </c>
      <c r="F25" s="6" t="inlineStr">
        <is>
          <t>Key strength</t>
        </is>
      </c>
      <c r="G25" s="6" t="inlineStr">
        <is>
          <t>Your edge vs them</t>
        </is>
      </c>
    </row>
    <row r="26" ht="19" customHeight="1">
      <c r="B26" s="7" t="inlineStr">
        <is>
          <t>The Harbour Townhouse</t>
        </is>
      </c>
      <c r="C26" s="23" t="n">
        <v>28</v>
      </c>
      <c r="D26" s="24" t="n">
        <v>145</v>
      </c>
      <c r="E26" s="25" t="n">
        <v>4.3</v>
      </c>
      <c r="F26" s="8" t="inlineStr">
        <is>
          <t>Sea views, spa</t>
        </is>
      </c>
      <c r="G26" s="26" t="n"/>
    </row>
    <row r="27" ht="19" customHeight="1">
      <c r="B27" s="13" t="inlineStr">
        <is>
          <t>City Mews Boutique</t>
        </is>
      </c>
      <c r="C27" s="23" t="n">
        <v>19</v>
      </c>
      <c r="D27" s="24" t="n">
        <v>128</v>
      </c>
      <c r="E27" s="25" t="n">
        <v>4.5</v>
      </c>
      <c r="F27" s="14" t="inlineStr">
        <is>
          <t>Design-led, central</t>
        </is>
      </c>
      <c r="G27" s="26" t="n"/>
    </row>
    <row r="28" ht="19" customHeight="1">
      <c r="B28" s="7" t="inlineStr">
        <is>
          <t>The Old Mill Hotel</t>
        </is>
      </c>
      <c r="C28" s="23" t="n">
        <v>32</v>
      </c>
      <c r="D28" s="24" t="n">
        <v>119</v>
      </c>
      <c r="E28" s="25" t="n">
        <v>4</v>
      </c>
      <c r="F28" s="8" t="inlineStr">
        <is>
          <t>Free parking, events</t>
        </is>
      </c>
      <c r="G28" s="26" t="n"/>
    </row>
    <row r="29" ht="19" customHeight="1">
      <c r="B29" s="13" t="inlineStr">
        <is>
          <t>Riverside Guesthouse</t>
        </is>
      </c>
      <c r="C29" s="23" t="n">
        <v>12</v>
      </c>
      <c r="D29" s="24" t="n">
        <v>99</v>
      </c>
      <c r="E29" s="25" t="n">
        <v>4.4</v>
      </c>
      <c r="F29" s="14" t="inlineStr">
        <is>
          <t>Owner-hosted, breakfast</t>
        </is>
      </c>
      <c r="G29" s="26" t="n"/>
    </row>
    <row r="30"/>
    <row r="31" ht="19" customHeight="1">
      <c r="B31" s="15" t="inlineStr">
        <is>
          <t>Competitor avg ADR</t>
        </is>
      </c>
      <c r="D31" s="27">
        <f>AVERAGE(D26:D29)</f>
        <v/>
      </c>
    </row>
    <row r="32" ht="19" customHeight="1">
      <c r="B32" s="15" t="inlineStr">
        <is>
          <t>Your planned ADR</t>
        </is>
      </c>
      <c r="D32" s="27">
        <f>'Assumptions'!D6</f>
        <v/>
      </c>
    </row>
    <row r="33">
      <c r="B33" s="15" t="inlineStr">
        <is>
          <t>Your ADR vs market</t>
        </is>
      </c>
      <c r="D33" s="28">
        <f>IFERROR('Assumptions'!D6/AVERAGE(D26:D29)-1,"")</f>
        <v/>
      </c>
    </row>
    <row r="34"/>
    <row r="35" ht="24" customHeight="1">
      <c r="B35" s="4" t="inlineStr">
        <is>
          <t>LOCATION SCORING (WEIGHTED)</t>
        </is>
      </c>
      <c r="C35" s="5" t="n"/>
      <c r="D35" s="5" t="n"/>
      <c r="E35" s="5" t="n"/>
      <c r="F35" s="5" t="n"/>
      <c r="G35" s="5" t="n"/>
    </row>
    <row r="36" ht="30" customHeight="1">
      <c r="B36" s="6" t="inlineStr">
        <is>
          <t>Factor</t>
        </is>
      </c>
      <c r="C36" s="6" t="inlineStr">
        <is>
          <t>Weight</t>
        </is>
      </c>
      <c r="D36" s="6" t="inlineStr">
        <is>
          <t>Score /10</t>
        </is>
      </c>
      <c r="E36" s="6" t="inlineStr">
        <is>
          <t>Weighted</t>
        </is>
      </c>
      <c r="F36" s="6" t="inlineStr"/>
      <c r="G36" s="6" t="inlineStr"/>
    </row>
    <row r="37" ht="19" customHeight="1">
      <c r="B37" s="7" t="inlineStr">
        <is>
          <t>Footfall / visibility</t>
        </is>
      </c>
      <c r="C37" s="10" t="n">
        <v>0.2</v>
      </c>
      <c r="D37" s="23" t="n">
        <v>8</v>
      </c>
      <c r="E37" s="29">
        <f>C37*D37</f>
        <v/>
      </c>
      <c r="F37" s="8" t="n"/>
      <c r="G37" s="8" t="n"/>
    </row>
    <row r="38" ht="19" customHeight="1">
      <c r="B38" s="13" t="inlineStr">
        <is>
          <t>Transport access</t>
        </is>
      </c>
      <c r="C38" s="10" t="n">
        <v>0.15</v>
      </c>
      <c r="D38" s="23" t="n">
        <v>7</v>
      </c>
      <c r="E38" s="29">
        <f>C38*D38</f>
        <v/>
      </c>
      <c r="F38" s="14" t="n"/>
      <c r="G38" s="14" t="n"/>
    </row>
    <row r="39" ht="19" customHeight="1">
      <c r="B39" s="7" t="inlineStr">
        <is>
          <t>Nearby demand drivers</t>
        </is>
      </c>
      <c r="C39" s="10" t="n">
        <v>0.2</v>
      </c>
      <c r="D39" s="23" t="n">
        <v>9</v>
      </c>
      <c r="E39" s="29">
        <f>C39*D39</f>
        <v/>
      </c>
      <c r="F39" s="8" t="n"/>
      <c r="G39" s="8" t="n"/>
    </row>
    <row r="40" ht="19" customHeight="1">
      <c r="B40" s="13" t="inlineStr">
        <is>
          <t>Competition density</t>
        </is>
      </c>
      <c r="C40" s="10" t="n">
        <v>0.15</v>
      </c>
      <c r="D40" s="23" t="n">
        <v>6</v>
      </c>
      <c r="E40" s="29">
        <f>C40*D40</f>
        <v/>
      </c>
      <c r="F40" s="14" t="n"/>
      <c r="G40" s="14" t="n"/>
    </row>
    <row r="41" ht="19" customHeight="1">
      <c r="B41" s="7" t="inlineStr">
        <is>
          <t>Lease cost vs ADR</t>
        </is>
      </c>
      <c r="C41" s="10" t="n">
        <v>0.15</v>
      </c>
      <c r="D41" s="23" t="n">
        <v>7</v>
      </c>
      <c r="E41" s="29">
        <f>C41*D41</f>
        <v/>
      </c>
      <c r="F41" s="8" t="n"/>
      <c r="G41" s="8" t="n"/>
    </row>
    <row r="42" ht="19" customHeight="1">
      <c r="B42" s="13" t="inlineStr">
        <is>
          <t>Planning / fit-out ease</t>
        </is>
      </c>
      <c r="C42" s="10" t="n">
        <v>0.15</v>
      </c>
      <c r="D42" s="23" t="n">
        <v>8</v>
      </c>
      <c r="E42" s="29">
        <f>C42*D42</f>
        <v/>
      </c>
      <c r="F42" s="14" t="n"/>
      <c r="G42" s="14" t="n"/>
    </row>
    <row r="43">
      <c r="B43" s="30" t="inlineStr">
        <is>
          <t>Location score / 10</t>
        </is>
      </c>
      <c r="E43" s="31">
        <f>SUM(E37:E42)</f>
        <v/>
      </c>
      <c r="F43" s="32">
        <f>IF(E43="","",IF(E43&gt;=7,"🟢 On target",IF(E43&gt;=5,"🟡 Watch","🔴 Action")))</f>
        <v/>
      </c>
    </row>
    <row r="44"/>
    <row r="45" ht="24" customHeight="1">
      <c r="B45" s="4" t="inlineStr">
        <is>
          <t>PHASE 0 GO / NO-GO GATE</t>
        </is>
      </c>
      <c r="C45" s="5" t="n"/>
      <c r="D45" s="5" t="n"/>
      <c r="E45" s="5" t="n"/>
      <c r="F45" s="5" t="n"/>
      <c r="G45" s="5" t="n"/>
    </row>
    <row r="46" ht="19" customHeight="1">
      <c r="B46" s="7" t="inlineStr">
        <is>
          <t>SOM room-nights within capacity</t>
        </is>
      </c>
      <c r="C46" s="20" t="n"/>
      <c r="D46" s="20" t="n"/>
      <c r="E46" s="20" t="n"/>
      <c r="F46" s="33">
        <f>IF(F8&lt;= ('Assumptions'!D5*365),"PASS","REVIEW")</f>
        <v/>
      </c>
      <c r="G46" s="8" t="n"/>
    </row>
    <row r="47" ht="19" customHeight="1">
      <c r="B47" s="13" t="inlineStr">
        <is>
          <t>ADR competitive (within ±15% of market)</t>
        </is>
      </c>
      <c r="C47" s="20" t="n"/>
      <c r="D47" s="20" t="n"/>
      <c r="E47" s="20" t="n"/>
      <c r="F47" s="33">
        <f>IF(ABS(D33)&lt;=0.15,"PASS","REVIEW")</f>
        <v/>
      </c>
      <c r="G47" s="14" t="n"/>
    </row>
    <row r="48" ht="19" customHeight="1">
      <c r="B48" s="7" t="inlineStr">
        <is>
          <t>Location score ≥ 7/10</t>
        </is>
      </c>
      <c r="C48" s="20" t="n"/>
      <c r="D48" s="20" t="n"/>
      <c r="E48" s="20" t="n"/>
      <c r="F48" s="33">
        <f>IF(E43&gt;=7,"PASS","REVIEW")</f>
        <v/>
      </c>
      <c r="G48" s="8" t="n"/>
    </row>
    <row r="49"/>
    <row r="50" ht="22" customHeight="1">
      <c r="B50" s="34" t="inlineStr">
        <is>
          <t>ASSET-FORGE · LEANTA Turnkey Pack · Boutique Hotel · v1.0 · 04/06/2026 · Phase 0 of 6</t>
        </is>
      </c>
    </row>
  </sheetData>
  <mergeCells count="23">
    <mergeCell ref="D10:E10"/>
    <mergeCell ref="F16:G16"/>
    <mergeCell ref="F19:G19"/>
    <mergeCell ref="B13:G13"/>
    <mergeCell ref="D31:E31"/>
    <mergeCell ref="F21:G21"/>
    <mergeCell ref="F15:G15"/>
    <mergeCell ref="B50:K50"/>
    <mergeCell ref="F20:G20"/>
    <mergeCell ref="F18:G18"/>
    <mergeCell ref="D32:E32"/>
    <mergeCell ref="B47:E47"/>
    <mergeCell ref="B46:E46"/>
    <mergeCell ref="F17:G17"/>
    <mergeCell ref="B24:G24"/>
    <mergeCell ref="B45:G45"/>
    <mergeCell ref="B48:E48"/>
    <mergeCell ref="B35:G35"/>
    <mergeCell ref="B4:G4"/>
    <mergeCell ref="B2:K2"/>
    <mergeCell ref="B1:K1"/>
    <mergeCell ref="B22:G22"/>
    <mergeCell ref="B11:G11"/>
  </mergeCells>
  <conditionalFormatting sqref="F43">
    <cfRule type="expression" priority="1" dxfId="0">
      <formula>ISNUMBER(SEARCH("On target",F43))</formula>
    </cfRule>
    <cfRule type="expression" priority="2" dxfId="1">
      <formula>ISNUMBER(SEARCH("Watch",F43))</formula>
    </cfRule>
    <cfRule type="expression" priority="3" dxfId="2">
      <formula>ISNUMBER(SEARCH("Action",F43))</formula>
    </cfRule>
  </conditionalFormatting>
  <conditionalFormatting sqref="F46">
    <cfRule type="cellIs" priority="4" operator="equal" dxfId="0">
      <formula>"PASS"</formula>
    </cfRule>
    <cfRule type="cellIs" priority="5" operator="equal" dxfId="1">
      <formula>"REVIEW"</formula>
    </cfRule>
  </conditionalFormatting>
  <conditionalFormatting sqref="F47">
    <cfRule type="cellIs" priority="6" operator="equal" dxfId="0">
      <formula>"PASS"</formula>
    </cfRule>
    <cfRule type="cellIs" priority="7" operator="equal" dxfId="1">
      <formula>"REVIEW"</formula>
    </cfRule>
  </conditionalFormatting>
  <conditionalFormatting sqref="F48">
    <cfRule type="cellIs" priority="8" operator="equal" dxfId="0">
      <formula>"PASS"</formula>
    </cfRule>
    <cfRule type="cellIs" priority="9" operator="equal" dxfId="1">
      <formula>"REVIEW"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4" t="inlineStr">
        <is>
          <t>DEMAND &amp; RATE</t>
        </is>
      </c>
      <c r="C4" s="5" t="n"/>
      <c r="D4" s="5" t="n"/>
      <c r="E4" s="5" t="n"/>
      <c r="F4" s="5" t="n"/>
    </row>
    <row r="5" ht="18" customHeight="1">
      <c r="B5" s="35" t="inlineStr">
        <is>
          <t>Rooms available</t>
        </is>
      </c>
      <c r="D5" s="36" t="n">
        <v>24</v>
      </c>
    </row>
    <row r="6" ht="18" customHeight="1">
      <c r="B6" s="35" t="inlineStr">
        <is>
          <t>ADR — average daily rate</t>
        </is>
      </c>
      <c r="D6" s="37" t="n">
        <v>135</v>
      </c>
      <c r="F6" s="38" t="inlineStr">
        <is>
          <t>4★ boutique IE €110–180</t>
        </is>
      </c>
    </row>
    <row r="7" ht="18" customHeight="1">
      <c r="B7" s="35" t="inlineStr">
        <is>
          <t>Occupancy</t>
        </is>
      </c>
      <c r="D7" s="39" t="n">
        <v>0.72</v>
      </c>
      <c r="F7" s="38" t="inlineStr">
        <is>
          <t>annualised; 65–80% typical</t>
        </is>
      </c>
    </row>
    <row r="8" ht="18" customHeight="1">
      <c r="B8" s="35" t="inlineStr">
        <is>
          <t>RevPAR (ADR × occupancy)</t>
        </is>
      </c>
      <c r="D8" s="27">
        <f>'Assumptions'!D6*'Assumptions'!D7</f>
        <v/>
      </c>
    </row>
    <row r="9" ht="18" customHeight="1">
      <c r="B9" s="35" t="inlineStr">
        <is>
          <t>F&amp;B + other revenue (% of rooms)</t>
        </is>
      </c>
      <c r="D9" s="39" t="n">
        <v>0.28</v>
      </c>
    </row>
    <row r="10" ht="18" customHeight="1">
      <c r="B10" s="35" t="inlineStr">
        <is>
          <t>Rooms revenue / yr</t>
        </is>
      </c>
      <c r="D10" s="40">
        <f>'Assumptions'!D5*365*'Assumptions'!D8</f>
        <v/>
      </c>
    </row>
    <row r="11" ht="18" customHeight="1">
      <c r="B11" s="35" t="inlineStr">
        <is>
          <t>Total revenue / yr</t>
        </is>
      </c>
      <c r="D11" s="40">
        <f>'Assumptions'!D10*(1+'Assumptions'!D9)</f>
        <v/>
      </c>
    </row>
    <row r="12"/>
    <row r="13" ht="24" customHeight="1">
      <c r="B13" s="4" t="inlineStr">
        <is>
          <t>COST RATIOS</t>
        </is>
      </c>
      <c r="C13" s="5" t="n"/>
      <c r="D13" s="5" t="n"/>
      <c r="E13" s="5" t="n"/>
      <c r="F13" s="5" t="n"/>
    </row>
    <row r="14" ht="18" customHeight="1">
      <c r="B14" s="35" t="inlineStr">
        <is>
          <t>Payroll (% of total revenue)</t>
        </is>
      </c>
      <c r="D14" s="39" t="n">
        <v>0.3</v>
      </c>
    </row>
    <row r="15" ht="18" customHeight="1">
      <c r="B15" s="35" t="inlineStr">
        <is>
          <t>F&amp;B cost (% of F&amp;B revenue)</t>
        </is>
      </c>
      <c r="D15" s="39" t="n">
        <v>0.3</v>
      </c>
    </row>
    <row r="16" ht="18" customHeight="1">
      <c r="B16" s="35" t="inlineStr">
        <is>
          <t>Rooms cost (% of rooms revenue)</t>
        </is>
      </c>
      <c r="D16" s="39" t="n">
        <v>0.1</v>
      </c>
    </row>
    <row r="17" ht="18" customHeight="1">
      <c r="B17" s="35" t="inlineStr">
        <is>
          <t>Utilities (% of total revenue)</t>
        </is>
      </c>
      <c r="D17" s="39" t="n">
        <v>0.05</v>
      </c>
    </row>
    <row r="18" ht="18" customHeight="1">
      <c r="B18" s="35" t="inlineStr">
        <is>
          <t>Sales &amp; marketing (% of revenue)</t>
        </is>
      </c>
      <c r="D18" s="39" t="n">
        <v>0.06</v>
      </c>
    </row>
    <row r="19" ht="18" customHeight="1">
      <c r="B19" s="35" t="inlineStr">
        <is>
          <t>Admin &amp; general (% of revenue)</t>
        </is>
      </c>
      <c r="D19" s="39" t="n">
        <v>0.05</v>
      </c>
    </row>
    <row r="20" ht="18" customHeight="1">
      <c r="B20" s="35" t="inlineStr">
        <is>
          <t>Property: rent/rates/insurance (%)</t>
        </is>
      </c>
      <c r="D20" s="39" t="n">
        <v>0.12</v>
      </c>
    </row>
    <row r="21"/>
    <row r="22" ht="24" customHeight="1">
      <c r="B22" s="4" t="inlineStr">
        <is>
          <t>CAPITAL EXPENDITURE (FIT-OUT LED — LEASED PROPERTY)</t>
        </is>
      </c>
      <c r="C22" s="5" t="n"/>
      <c r="D22" s="5" t="n"/>
      <c r="E22" s="5" t="n"/>
      <c r="F22" s="5" t="n"/>
    </row>
    <row r="23" ht="18" customHeight="1">
      <c r="B23" s="35" t="inlineStr">
        <is>
          <t>Lease deposit &amp; legal</t>
        </is>
      </c>
      <c r="D23" s="41" t="n">
        <v>45000</v>
      </c>
    </row>
    <row r="24" ht="18" customHeight="1">
      <c r="B24" s="35" t="inlineStr">
        <is>
          <t>Building refurbishment &amp; fit-out</t>
        </is>
      </c>
      <c r="D24" s="41" t="n">
        <v>240000</v>
      </c>
    </row>
    <row r="25" ht="18" customHeight="1">
      <c r="B25" s="35" t="inlineStr">
        <is>
          <t>FF&amp;E (rooms, beds, furniture)</t>
        </is>
      </c>
      <c r="D25" s="41" t="n">
        <v>120000</v>
      </c>
    </row>
    <row r="26" ht="18" customHeight="1">
      <c r="B26" s="35" t="inlineStr">
        <is>
          <t>Kitchen &amp; F&amp;B equipment</t>
        </is>
      </c>
      <c r="D26" s="41" t="n">
        <v>55000</v>
      </c>
    </row>
    <row r="27" ht="18" customHeight="1">
      <c r="B27" s="35" t="inlineStr">
        <is>
          <t>IT, PMS, POS &amp; networking</t>
        </is>
      </c>
      <c r="D27" s="41" t="n">
        <v>30000</v>
      </c>
    </row>
    <row r="28" ht="18" customHeight="1">
      <c r="B28" s="35" t="inlineStr">
        <is>
          <t>Branding, signage &amp; website</t>
        </is>
      </c>
      <c r="D28" s="41" t="n">
        <v>25000</v>
      </c>
    </row>
    <row r="29" ht="18" customHeight="1">
      <c r="B29" s="35" t="inlineStr">
        <is>
          <t>Pre-opening payroll &amp; training</t>
        </is>
      </c>
      <c r="D29" s="41" t="n">
        <v>35000</v>
      </c>
    </row>
    <row r="30" ht="18" customHeight="1">
      <c r="B30" s="35" t="inlineStr">
        <is>
          <t>Working capital buffer</t>
        </is>
      </c>
      <c r="D30" s="41" t="n">
        <v>50000</v>
      </c>
    </row>
    <row r="31">
      <c r="B31" s="30" t="inlineStr">
        <is>
          <t>Total capex required</t>
        </is>
      </c>
      <c r="D31" s="40">
        <f>SUM(D23:D30)</f>
        <v/>
      </c>
    </row>
    <row r="32"/>
    <row r="33" ht="24" customHeight="1">
      <c r="B33" s="4" t="inlineStr">
        <is>
          <t>FUNDING MIX</t>
        </is>
      </c>
      <c r="C33" s="5" t="n"/>
      <c r="D33" s="5" t="n"/>
      <c r="E33" s="5" t="n"/>
      <c r="F33" s="5" t="n"/>
    </row>
    <row r="34" ht="18" customHeight="1">
      <c r="B34" s="35" t="inlineStr">
        <is>
          <t>Founder equity (incl. SURE refund)</t>
        </is>
      </c>
      <c r="D34" s="41" t="n">
        <v>180000</v>
      </c>
      <c r="F34" s="42">
        <f>IF($D$34="","",D34/SUM($D$34:$D$37))</f>
        <v/>
      </c>
    </row>
    <row r="35" ht="18" customHeight="1">
      <c r="B35" s="35" t="inlineStr">
        <is>
          <t>LEO Priming grant</t>
        </is>
      </c>
      <c r="D35" s="41" t="n">
        <v>80000</v>
      </c>
      <c r="F35" s="42">
        <f>IF($D$35="","",D35/SUM($D$34:$D$37))</f>
        <v/>
      </c>
    </row>
    <row r="36" ht="18" customHeight="1">
      <c r="B36" s="35" t="inlineStr">
        <is>
          <t>Bank / SBCI term loan</t>
        </is>
      </c>
      <c r="D36" s="41" t="n">
        <v>300000</v>
      </c>
      <c r="F36" s="42">
        <f>IF($D$36="","",D36/SUM($D$34:$D$37))</f>
        <v/>
      </c>
    </row>
    <row r="37" ht="18" customHeight="1">
      <c r="B37" s="35" t="inlineStr">
        <is>
          <t>Microfinance Ireland loan</t>
        </is>
      </c>
      <c r="D37" s="41" t="n">
        <v>40000</v>
      </c>
      <c r="F37" s="42">
        <f>IF($D$37="","",D37/SUM($D$34:$D$37))</f>
        <v/>
      </c>
    </row>
    <row r="38">
      <c r="B38" s="30" t="inlineStr">
        <is>
          <t>Total funding raised</t>
        </is>
      </c>
      <c r="D38" s="40">
        <f>SUM(D34:D37)</f>
        <v/>
      </c>
    </row>
    <row r="39">
      <c r="B39" s="15" t="inlineStr">
        <is>
          <t>Funding vs capex (surplus/gap)</t>
        </is>
      </c>
      <c r="D39" s="40">
        <f>'Assumptions'!D38-'Assumptions'!D31</f>
        <v/>
      </c>
    </row>
    <row r="40"/>
    <row r="41" ht="24" customHeight="1">
      <c r="B41" s="4" t="inlineStr">
        <is>
          <t>SOURCES &amp; BENCHMARK NOTES</t>
        </is>
      </c>
      <c r="C41" s="5" t="n"/>
      <c r="D41" s="5" t="n"/>
      <c r="E41" s="5" t="n"/>
      <c r="F41" s="5" t="n"/>
    </row>
    <row r="42" ht="30" customHeight="1">
      <c r="B42" s="17" t="inlineStr">
        <is>
          <t xml:space="preserve">  ADR/occupancy/RevPAR: Fáilte Ireland Hotel Survey 2024 — 4★ ADR €143.50–€144.49, occupancy 60.2% (Dec) → 74.1% (Nov), RevPAR €86.42–€107.07.</t>
        </is>
      </c>
    </row>
    <row r="43" ht="30" customHeight="1">
      <c r="B43" s="17" t="inlineStr">
        <is>
          <t xml:space="preserve">  Cost ratios: hospitality labour 25–35% of revenue (US long-run 31.2%); USALI F&amp;B cost-of-sales; GOP margin ~36–38% (HotelData 2025). See `startup_benchmarks` table.</t>
        </is>
      </c>
    </row>
    <row r="44" ht="30" customHeight="1">
      <c r="B44" s="17" t="inlineStr">
        <is>
          <t xml:space="preserve">  Grant/funding figures: Local Enterprise Office (localenterprise.ie), Microfinance Ireland, SBCI, Fáilte Ireland investment schemes.</t>
        </is>
      </c>
    </row>
    <row r="45" ht="30" customHeight="1">
      <c r="B45" s="17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34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Market Validation</dc:title>
  <dcterms:created xsi:type="dcterms:W3CDTF">2026-06-04T13:30:31Z</dcterms:created>
  <dcterms:modified xsi:type="dcterms:W3CDTF">2026-06-04T13:30:31Z</dcterms:modified>
</cp:coreProperties>
</file>