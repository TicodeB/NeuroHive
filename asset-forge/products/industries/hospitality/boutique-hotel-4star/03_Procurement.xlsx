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0.0%"/>
    <numFmt numFmtId="166" formatCode="#,##0\ &quot;€&quot;"/>
    <numFmt numFmtId="167" formatCode="0.0"/>
    <numFmt numFmtId="168" formatCode="DD/MM/YYYY"/>
  </numFmts>
  <fonts count="14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b val="1"/>
      <color rgb="002D6CDF"/>
      <sz val="9.5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  <fill>
      <patternFill patternType="solid">
        <fgColor rgb="00F4F7FB"/>
      </patternFill>
    </fill>
  </fills>
  <borders count="5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2" fillId="5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center" vertical="center"/>
    </xf>
    <xf numFmtId="1" fontId="8" fillId="3" borderId="2" applyAlignment="1" pivotButton="0" quotePrefix="0" xfId="0">
      <alignment horizontal="center" vertical="center"/>
    </xf>
    <xf numFmtId="167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66" fontId="6" fillId="4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166" fontId="8" fillId="4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66" fontId="6" fillId="4" borderId="3" pivotButton="0" quotePrefix="0" xfId="0"/>
    <xf numFmtId="168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/>
    </xf>
    <xf numFmtId="166" fontId="8" fillId="4" borderId="3" pivotButton="0" quotePrefix="0" xfId="0"/>
    <xf numFmtId="0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0" fillId="3" borderId="2" pivotButton="0" quotePrefix="0" xfId="0"/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5" fontId="0" fillId="3" borderId="2" pivotButton="0" quotePrefix="0" xfId="0"/>
    <xf numFmtId="164" fontId="6" fillId="4" borderId="3" pivotButton="0" quotePrefix="0" xfId="0"/>
    <xf numFmtId="166" fontId="0" fillId="3" borderId="2" pivotButton="0" quotePrefix="0" xfId="0"/>
    <xf numFmtId="0" fontId="7" fillId="0" borderId="0" applyAlignment="1" pivotButton="0" quotePrefix="0" xfId="0">
      <alignment horizontal="left" vertical="center"/>
    </xf>
    <xf numFmtId="165" fontId="8" fillId="4" borderId="3" pivotButton="0" quotePrefix="0" xfId="0"/>
    <xf numFmtId="0" fontId="9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2"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K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9.1" customWidth="1" min="2" max="2"/>
    <col width="24.6" customWidth="1" min="3" max="3"/>
    <col width="21.8" customWidth="1" min="4" max="4"/>
    <col width="14" customWidth="1" min="5" max="5"/>
    <col width="14" customWidth="1" min="6" max="6"/>
    <col width="14" customWidth="1" min="7" max="7"/>
    <col width="16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Procurement</t>
        </is>
      </c>
    </row>
    <row r="2" ht="20" customHeight="1">
      <c r="B2" s="2" t="inlineStr">
        <is>
          <t>Phase 3 · Vendors, fit-out budget, RFQ compare &amp; purchase orders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4" customHeight="1">
      <c r="B4" s="4" t="inlineStr">
        <is>
          <t>VENDOR MASTER</t>
        </is>
      </c>
      <c r="C4" s="5" t="n"/>
      <c r="D4" s="5" t="n"/>
      <c r="E4" s="5" t="n"/>
      <c r="F4" s="5" t="n"/>
      <c r="G4" s="5" t="n"/>
      <c r="H4" s="5" t="n"/>
    </row>
    <row r="5" ht="30" customHeight="1">
      <c r="B5" s="6" t="inlineStr">
        <is>
          <t>Vendor</t>
        </is>
      </c>
      <c r="C5" s="6" t="inlineStr">
        <is>
          <t>Category</t>
        </is>
      </c>
      <c r="D5" s="6" t="inlineStr">
        <is>
          <t>Lead time (wk)</t>
        </is>
      </c>
      <c r="E5" s="6" t="inlineStr">
        <is>
          <t>Payment terms</t>
        </is>
      </c>
      <c r="F5" s="6" t="inlineStr">
        <is>
          <t>Rating /5</t>
        </is>
      </c>
      <c r="G5" s="6" t="inlineStr">
        <is>
          <t>Contact</t>
        </is>
      </c>
      <c r="H5" s="6" t="inlineStr">
        <is>
          <t>Approved?</t>
        </is>
      </c>
    </row>
    <row r="6" ht="19" customHeight="1">
      <c r="B6" s="7" t="inlineStr">
        <is>
          <t>Murphy FF&amp;E Ltd</t>
        </is>
      </c>
      <c r="C6" s="8" t="inlineStr">
        <is>
          <t>Furniture &amp; fit-out</t>
        </is>
      </c>
      <c r="D6" s="9" t="n">
        <v>8</v>
      </c>
      <c r="E6" s="8" t="inlineStr">
        <is>
          <t>30% / 70%</t>
        </is>
      </c>
      <c r="F6" s="10" t="n">
        <v>4.5</v>
      </c>
      <c r="G6" s="11" t="n"/>
      <c r="H6" s="11" t="inlineStr">
        <is>
          <t>Yes</t>
        </is>
      </c>
    </row>
    <row r="7" ht="19" customHeight="1">
      <c r="B7" s="12" t="inlineStr">
        <is>
          <t>Atlantic Linen Co</t>
        </is>
      </c>
      <c r="C7" s="13" t="inlineStr">
        <is>
          <t>Linen &amp; textiles</t>
        </is>
      </c>
      <c r="D7" s="9" t="n">
        <v>3</v>
      </c>
      <c r="E7" s="13" t="inlineStr">
        <is>
          <t>Net 30</t>
        </is>
      </c>
      <c r="F7" s="10" t="n">
        <v>4.2</v>
      </c>
      <c r="G7" s="11" t="n"/>
      <c r="H7" s="11" t="inlineStr">
        <is>
          <t>Yes</t>
        </is>
      </c>
    </row>
    <row r="8" ht="19" customHeight="1">
      <c r="B8" s="7" t="inlineStr">
        <is>
          <t>KitchenPro</t>
        </is>
      </c>
      <c r="C8" s="8" t="inlineStr">
        <is>
          <t>Kitchen equipment</t>
        </is>
      </c>
      <c r="D8" s="9" t="n">
        <v>6</v>
      </c>
      <c r="E8" s="8" t="inlineStr">
        <is>
          <t>50% deposit</t>
        </is>
      </c>
      <c r="F8" s="10" t="n">
        <v>4</v>
      </c>
      <c r="G8" s="11" t="n"/>
      <c r="H8" s="11" t="inlineStr">
        <is>
          <t>Yes</t>
        </is>
      </c>
    </row>
    <row r="9" ht="19" customHeight="1">
      <c r="B9" s="12" t="inlineStr">
        <is>
          <t>BrightIT Systems</t>
        </is>
      </c>
      <c r="C9" s="13" t="inlineStr">
        <is>
          <t>PMS/POS/network</t>
        </is>
      </c>
      <c r="D9" s="9" t="n">
        <v>4</v>
      </c>
      <c r="E9" s="13" t="inlineStr">
        <is>
          <t>Net 14</t>
        </is>
      </c>
      <c r="F9" s="10" t="n">
        <v>4.6</v>
      </c>
      <c r="G9" s="11" t="n"/>
      <c r="H9" s="11" t="inlineStr">
        <is>
          <t>Pending</t>
        </is>
      </c>
    </row>
    <row r="10" ht="19" customHeight="1">
      <c r="B10" s="7" t="inlineStr">
        <is>
          <t>GreenClean Supplies</t>
        </is>
      </c>
      <c r="C10" s="8" t="inlineStr">
        <is>
          <t>Housekeeping consumables</t>
        </is>
      </c>
      <c r="D10" s="9" t="n">
        <v>1</v>
      </c>
      <c r="E10" s="8" t="inlineStr">
        <is>
          <t>Net 30</t>
        </is>
      </c>
      <c r="F10" s="10" t="n">
        <v>4.1</v>
      </c>
      <c r="G10" s="11" t="n"/>
      <c r="H10" s="11" t="inlineStr">
        <is>
          <t>Pending</t>
        </is>
      </c>
    </row>
    <row r="11"/>
    <row r="12" ht="24" customHeight="1">
      <c r="B12" s="4" t="inlineStr">
        <is>
          <t>RFQ COMPARISON — AUTO-FLAGS LOWEST QUOTE</t>
        </is>
      </c>
      <c r="C12" s="5" t="n"/>
      <c r="D12" s="5" t="n"/>
      <c r="E12" s="5" t="n"/>
      <c r="F12" s="5" t="n"/>
      <c r="G12" s="5" t="n"/>
      <c r="H12" s="5" t="n"/>
    </row>
    <row r="13" ht="30" customHeight="1">
      <c r="B13" s="6" t="inlineStr">
        <is>
          <t>Item</t>
        </is>
      </c>
      <c r="C13" s="6" t="inlineStr">
        <is>
          <t>Quote A €</t>
        </is>
      </c>
      <c r="D13" s="6" t="inlineStr">
        <is>
          <t>Quote B €</t>
        </is>
      </c>
      <c r="E13" s="6" t="inlineStr">
        <is>
          <t>Quote C €</t>
        </is>
      </c>
      <c r="F13" s="6" t="inlineStr">
        <is>
          <t>Lowest €</t>
        </is>
      </c>
      <c r="G13" s="6" t="inlineStr">
        <is>
          <t>Best vendor</t>
        </is>
      </c>
      <c r="H13" s="6" t="inlineStr">
        <is>
          <t>Saving vs A</t>
        </is>
      </c>
    </row>
    <row r="14" ht="19" customHeight="1">
      <c r="B14" s="7" t="inlineStr">
        <is>
          <t>36 bedroom furniture sets</t>
        </is>
      </c>
      <c r="C14" s="14" t="n">
        <v>64000</v>
      </c>
      <c r="D14" s="14" t="n">
        <v>59500</v>
      </c>
      <c r="E14" s="14" t="n">
        <v>61200</v>
      </c>
      <c r="F14" s="15">
        <f>MIN(C14:E14)</f>
        <v/>
      </c>
      <c r="G14" s="16">
        <f>CHOOSE(MATCH(MIN(C14:E14),C14:E14,0),"Quote A","Quote B","Quote C")</f>
        <v/>
      </c>
      <c r="H14" s="17">
        <f>C14-F14</f>
        <v/>
      </c>
    </row>
    <row r="15" ht="19" customHeight="1">
      <c r="B15" s="12" t="inlineStr">
        <is>
          <t>Commercial kitchen line</t>
        </is>
      </c>
      <c r="C15" s="14" t="n">
        <v>52000</v>
      </c>
      <c r="D15" s="14" t="n">
        <v>55000</v>
      </c>
      <c r="E15" s="14" t="n">
        <v>49900</v>
      </c>
      <c r="F15" s="15">
        <f>MIN(C15:E15)</f>
        <v/>
      </c>
      <c r="G15" s="16">
        <f>CHOOSE(MATCH(MIN(C15:E15),C15:E15,0),"Quote A","Quote B","Quote C")</f>
        <v/>
      </c>
      <c r="H15" s="17">
        <f>C15-F15</f>
        <v/>
      </c>
    </row>
    <row r="16" ht="19" customHeight="1">
      <c r="B16" s="7" t="inlineStr">
        <is>
          <t>PMS + POS (3-yr)</t>
        </is>
      </c>
      <c r="C16" s="14" t="n">
        <v>18000</v>
      </c>
      <c r="D16" s="14" t="n">
        <v>21000</v>
      </c>
      <c r="E16" s="14" t="n">
        <v>17400</v>
      </c>
      <c r="F16" s="15">
        <f>MIN(C16:E16)</f>
        <v/>
      </c>
      <c r="G16" s="16">
        <f>CHOOSE(MATCH(MIN(C16:E16),C16:E16,0),"Quote A","Quote B","Quote C")</f>
        <v/>
      </c>
      <c r="H16" s="17">
        <f>C16-F16</f>
        <v/>
      </c>
    </row>
    <row r="17" ht="19" customHeight="1">
      <c r="B17" s="12" t="inlineStr">
        <is>
          <t>Bed linen (par 3)</t>
        </is>
      </c>
      <c r="C17" s="14" t="n">
        <v>14500</v>
      </c>
      <c r="D17" s="14" t="n">
        <v>13900</v>
      </c>
      <c r="E17" s="14" t="n">
        <v>15200</v>
      </c>
      <c r="F17" s="15">
        <f>MIN(C17:E17)</f>
        <v/>
      </c>
      <c r="G17" s="16">
        <f>CHOOSE(MATCH(MIN(C17:E17),C17:E17,0),"Quote A","Quote B","Quote C")</f>
        <v/>
      </c>
      <c r="H17" s="17">
        <f>C17-F17</f>
        <v/>
      </c>
    </row>
    <row r="18">
      <c r="B18" s="18" t="inlineStr">
        <is>
          <t>Total lowest-quote spend</t>
        </is>
      </c>
      <c r="F18" s="19">
        <f>SUM(F14:F17)</f>
        <v/>
      </c>
      <c r="H18" s="19">
        <f>SUM(H14:H17)</f>
        <v/>
      </c>
    </row>
    <row r="19"/>
    <row r="20" ht="24" customHeight="1">
      <c r="B20" s="4" t="inlineStr">
        <is>
          <t>PURCHASE ORDER REGISTER</t>
        </is>
      </c>
      <c r="C20" s="5" t="n"/>
      <c r="D20" s="5" t="n"/>
      <c r="E20" s="5" t="n"/>
      <c r="F20" s="5" t="n"/>
      <c r="G20" s="5" t="n"/>
      <c r="H20" s="5" t="n"/>
    </row>
    <row r="21" ht="30" customHeight="1">
      <c r="B21" s="6" t="inlineStr">
        <is>
          <t>PO #</t>
        </is>
      </c>
      <c r="C21" s="6" t="inlineStr">
        <is>
          <t>Vendor</t>
        </is>
      </c>
      <c r="D21" s="6" t="inlineStr">
        <is>
          <t>Description</t>
        </is>
      </c>
      <c r="E21" s="6" t="inlineStr">
        <is>
          <t>Order date</t>
        </is>
      </c>
      <c r="F21" s="6" t="inlineStr">
        <is>
          <t>Due date</t>
        </is>
      </c>
      <c r="G21" s="6" t="inlineStr">
        <is>
          <t>Amount €</t>
        </is>
      </c>
      <c r="H21" s="6" t="inlineStr">
        <is>
          <t>Status</t>
        </is>
      </c>
    </row>
    <row r="22" ht="19" customHeight="1">
      <c r="B22" s="7" t="inlineStr">
        <is>
          <t>PO-001</t>
        </is>
      </c>
      <c r="C22" s="8" t="inlineStr">
        <is>
          <t>Murphy FF&amp;E Ltd</t>
        </is>
      </c>
      <c r="D22" s="8" t="inlineStr">
        <is>
          <t>Bedroom furniture x24</t>
        </is>
      </c>
      <c r="E22" s="20" t="n"/>
      <c r="F22" s="20" t="n"/>
      <c r="G22" s="14" t="n">
        <v>59500</v>
      </c>
      <c r="H22" s="11" t="inlineStr">
        <is>
          <t>Confirmed</t>
        </is>
      </c>
    </row>
    <row r="23" ht="19" customHeight="1">
      <c r="B23" s="12" t="inlineStr">
        <is>
          <t>PO-002</t>
        </is>
      </c>
      <c r="C23" s="13" t="inlineStr">
        <is>
          <t>KitchenPro</t>
        </is>
      </c>
      <c r="D23" s="13" t="inlineStr">
        <is>
          <t>Kitchen line install</t>
        </is>
      </c>
      <c r="E23" s="20" t="n"/>
      <c r="F23" s="20" t="n"/>
      <c r="G23" s="14" t="n">
        <v>49900</v>
      </c>
      <c r="H23" s="11" t="inlineStr">
        <is>
          <t>Sent</t>
        </is>
      </c>
    </row>
    <row r="24" ht="19" customHeight="1">
      <c r="B24" s="7" t="inlineStr">
        <is>
          <t>PO-003</t>
        </is>
      </c>
      <c r="C24" s="8" t="inlineStr">
        <is>
          <t>BrightIT Systems</t>
        </is>
      </c>
      <c r="D24" s="8" t="inlineStr">
        <is>
          <t>PMS + POS rollout</t>
        </is>
      </c>
      <c r="E24" s="20" t="n"/>
      <c r="F24" s="20" t="n"/>
      <c r="G24" s="14" t="n">
        <v>17400</v>
      </c>
      <c r="H24" s="11" t="inlineStr">
        <is>
          <t>Draft</t>
        </is>
      </c>
    </row>
    <row r="25" ht="19" customHeight="1">
      <c r="B25" s="21" t="n"/>
      <c r="C25" s="11" t="n"/>
      <c r="D25" s="11" t="n"/>
      <c r="E25" s="20" t="n"/>
      <c r="F25" s="20" t="n"/>
      <c r="G25" s="14" t="n"/>
      <c r="H25" s="11" t="n"/>
    </row>
    <row r="26" ht="19" customHeight="1">
      <c r="B26" s="21" t="n"/>
      <c r="C26" s="11" t="n"/>
      <c r="D26" s="11" t="n"/>
      <c r="E26" s="20" t="n"/>
      <c r="F26" s="20" t="n"/>
      <c r="G26" s="14" t="n"/>
      <c r="H26" s="11" t="n"/>
    </row>
    <row r="27" ht="19" customHeight="1">
      <c r="B27" s="21" t="n"/>
      <c r="C27" s="11" t="n"/>
      <c r="D27" s="11" t="n"/>
      <c r="E27" s="20" t="n"/>
      <c r="F27" s="20" t="n"/>
      <c r="G27" s="14" t="n"/>
      <c r="H27" s="11" t="n"/>
    </row>
    <row r="28" ht="19" customHeight="1">
      <c r="B28" s="21" t="n"/>
      <c r="C28" s="11" t="n"/>
      <c r="D28" s="11" t="n"/>
      <c r="E28" s="20" t="n"/>
      <c r="F28" s="20" t="n"/>
      <c r="G28" s="14" t="n"/>
      <c r="H28" s="11" t="n"/>
    </row>
    <row r="29" ht="19" customHeight="1">
      <c r="B29" s="21" t="n"/>
      <c r="C29" s="11" t="n"/>
      <c r="D29" s="11" t="n"/>
      <c r="E29" s="20" t="n"/>
      <c r="F29" s="20" t="n"/>
      <c r="G29" s="14" t="n"/>
      <c r="H29" s="11" t="n"/>
    </row>
    <row r="30" ht="19" customHeight="1">
      <c r="B30" s="21" t="n"/>
      <c r="C30" s="11" t="n"/>
      <c r="D30" s="11" t="n"/>
      <c r="E30" s="20" t="n"/>
      <c r="F30" s="20" t="n"/>
      <c r="G30" s="14" t="n"/>
      <c r="H30" s="11" t="n"/>
    </row>
    <row r="31" ht="19" customHeight="1">
      <c r="B31" s="21" t="n"/>
      <c r="C31" s="11" t="n"/>
      <c r="D31" s="11" t="n"/>
      <c r="E31" s="20" t="n"/>
      <c r="F31" s="20" t="n"/>
      <c r="G31" s="14" t="n"/>
      <c r="H31" s="11" t="n"/>
    </row>
    <row r="32" ht="19" customHeight="1">
      <c r="B32" s="21" t="n"/>
      <c r="C32" s="11" t="n"/>
      <c r="D32" s="11" t="n"/>
      <c r="E32" s="20" t="n"/>
      <c r="F32" s="20" t="n"/>
      <c r="G32" s="14" t="n"/>
      <c r="H32" s="11" t="n"/>
    </row>
    <row r="33" ht="19" customHeight="1">
      <c r="B33" s="21" t="n"/>
      <c r="C33" s="11" t="n"/>
      <c r="D33" s="11" t="n"/>
      <c r="E33" s="20" t="n"/>
      <c r="F33" s="20" t="n"/>
      <c r="G33" s="14" t="n"/>
      <c r="H33" s="11" t="n"/>
    </row>
    <row r="34" ht="19" customHeight="1">
      <c r="B34" s="21" t="n"/>
      <c r="C34" s="11" t="n"/>
      <c r="D34" s="11" t="n"/>
      <c r="E34" s="20" t="n"/>
      <c r="F34" s="20" t="n"/>
      <c r="G34" s="14" t="n"/>
      <c r="H34" s="11" t="n"/>
    </row>
    <row r="35" ht="19" customHeight="1">
      <c r="B35" s="21" t="n"/>
      <c r="C35" s="11" t="n"/>
      <c r="D35" s="11" t="n"/>
      <c r="E35" s="20" t="n"/>
      <c r="F35" s="20" t="n"/>
      <c r="G35" s="14" t="n"/>
      <c r="H35" s="11" t="n"/>
    </row>
    <row r="36">
      <c r="B36" s="18" t="inlineStr">
        <is>
          <t>Committed spend (PO register)</t>
        </is>
      </c>
      <c r="G36" s="19">
        <f>SUM(G22:G35)</f>
        <v/>
      </c>
    </row>
    <row r="37">
      <c r="B37" s="22" t="inlineStr">
        <is>
          <t>Capex budget (Assumptions)</t>
        </is>
      </c>
      <c r="G37" s="23">
        <f>'Assumptions'!D31</f>
        <v/>
      </c>
    </row>
    <row r="38">
      <c r="B38" s="24" t="inlineStr">
        <is>
          <t>Budget remaining</t>
        </is>
      </c>
      <c r="G38" s="19">
        <f>'Assumptions'!D31-SUM(G22:G35)</f>
        <v/>
      </c>
    </row>
    <row r="39"/>
    <row r="40" ht="22" customHeight="1">
      <c r="B40" s="25" t="inlineStr">
        <is>
          <t>ASSET-FORGE · LEANTA Turnkey Pack · Boutique Hotel · v1.0 · 04/06/2026 · Phase 3 of 6</t>
        </is>
      </c>
    </row>
  </sheetData>
  <mergeCells count="6">
    <mergeCell ref="B1:K1"/>
    <mergeCell ref="B40:K40"/>
    <mergeCell ref="B4:H4"/>
    <mergeCell ref="B12:H12"/>
    <mergeCell ref="B2:K2"/>
    <mergeCell ref="B20:H20"/>
  </mergeCells>
  <dataValidations count="2">
    <dataValidation sqref="H6 H7 H8 H9 H10" showDropDown="0" showInputMessage="0" showErrorMessage="0" allowBlank="1" type="list">
      <formula1>"Yes,No,Pending"</formula1>
    </dataValidation>
    <dataValidation sqref="H22 H23 H24 H25 H26 H27 H28 H29 H30 H31 H32 H33 H34 H35" showDropDown="0" showInputMessage="0" showErrorMessage="0" allowBlank="1" type="list">
      <formula1>"Draft,Sent,Confirmed,Delivered,Paid"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4" t="inlineStr">
        <is>
          <t>DEMAND &amp; RATE</t>
        </is>
      </c>
      <c r="C4" s="5" t="n"/>
      <c r="D4" s="5" t="n"/>
      <c r="E4" s="5" t="n"/>
      <c r="F4" s="5" t="n"/>
    </row>
    <row r="5" ht="18" customHeight="1">
      <c r="B5" s="26" t="inlineStr">
        <is>
          <t>Rooms available</t>
        </is>
      </c>
      <c r="D5" s="27" t="n">
        <v>24</v>
      </c>
    </row>
    <row r="6" ht="18" customHeight="1">
      <c r="B6" s="26" t="inlineStr">
        <is>
          <t>ADR — average daily rate</t>
        </is>
      </c>
      <c r="D6" s="28" t="n">
        <v>135</v>
      </c>
      <c r="F6" s="29" t="inlineStr">
        <is>
          <t>4★ boutique IE €110–180</t>
        </is>
      </c>
    </row>
    <row r="7" ht="18" customHeight="1">
      <c r="B7" s="26" t="inlineStr">
        <is>
          <t>Occupancy</t>
        </is>
      </c>
      <c r="D7" s="30" t="n">
        <v>0.72</v>
      </c>
      <c r="F7" s="29" t="inlineStr">
        <is>
          <t>annualised; 65–80% typical</t>
        </is>
      </c>
    </row>
    <row r="8" ht="18" customHeight="1">
      <c r="B8" s="26" t="inlineStr">
        <is>
          <t>RevPAR (ADR × occupancy)</t>
        </is>
      </c>
      <c r="D8" s="31">
        <f>'Assumptions'!D6*'Assumptions'!D7</f>
        <v/>
      </c>
    </row>
    <row r="9" ht="18" customHeight="1">
      <c r="B9" s="26" t="inlineStr">
        <is>
          <t>F&amp;B + other revenue (% of rooms)</t>
        </is>
      </c>
      <c r="D9" s="30" t="n">
        <v>0.28</v>
      </c>
    </row>
    <row r="10" ht="18" customHeight="1">
      <c r="B10" s="26" t="inlineStr">
        <is>
          <t>Rooms revenue / yr</t>
        </is>
      </c>
      <c r="D10" s="19">
        <f>'Assumptions'!D5*365*'Assumptions'!D8</f>
        <v/>
      </c>
    </row>
    <row r="11" ht="18" customHeight="1">
      <c r="B11" s="26" t="inlineStr">
        <is>
          <t>Total revenue / yr</t>
        </is>
      </c>
      <c r="D11" s="19">
        <f>'Assumptions'!D10*(1+'Assumptions'!D9)</f>
        <v/>
      </c>
    </row>
    <row r="12"/>
    <row r="13" ht="24" customHeight="1">
      <c r="B13" s="4" t="inlineStr">
        <is>
          <t>COST RATIOS</t>
        </is>
      </c>
      <c r="C13" s="5" t="n"/>
      <c r="D13" s="5" t="n"/>
      <c r="E13" s="5" t="n"/>
      <c r="F13" s="5" t="n"/>
    </row>
    <row r="14" ht="18" customHeight="1">
      <c r="B14" s="26" t="inlineStr">
        <is>
          <t>Payroll (% of total revenue)</t>
        </is>
      </c>
      <c r="D14" s="30" t="n">
        <v>0.3</v>
      </c>
    </row>
    <row r="15" ht="18" customHeight="1">
      <c r="B15" s="26" t="inlineStr">
        <is>
          <t>F&amp;B cost (% of F&amp;B revenue)</t>
        </is>
      </c>
      <c r="D15" s="30" t="n">
        <v>0.3</v>
      </c>
    </row>
    <row r="16" ht="18" customHeight="1">
      <c r="B16" s="26" t="inlineStr">
        <is>
          <t>Rooms cost (% of rooms revenue)</t>
        </is>
      </c>
      <c r="D16" s="30" t="n">
        <v>0.1</v>
      </c>
    </row>
    <row r="17" ht="18" customHeight="1">
      <c r="B17" s="26" t="inlineStr">
        <is>
          <t>Utilities (% of total revenue)</t>
        </is>
      </c>
      <c r="D17" s="30" t="n">
        <v>0.05</v>
      </c>
    </row>
    <row r="18" ht="18" customHeight="1">
      <c r="B18" s="26" t="inlineStr">
        <is>
          <t>Sales &amp; marketing (% of revenue)</t>
        </is>
      </c>
      <c r="D18" s="30" t="n">
        <v>0.06</v>
      </c>
    </row>
    <row r="19" ht="18" customHeight="1">
      <c r="B19" s="26" t="inlineStr">
        <is>
          <t>Admin &amp; general (% of revenue)</t>
        </is>
      </c>
      <c r="D19" s="30" t="n">
        <v>0.05</v>
      </c>
    </row>
    <row r="20" ht="18" customHeight="1">
      <c r="B20" s="26" t="inlineStr">
        <is>
          <t>Property: rent/rates/insurance (%)</t>
        </is>
      </c>
      <c r="D20" s="30" t="n">
        <v>0.12</v>
      </c>
    </row>
    <row r="21"/>
    <row r="22" ht="24" customHeight="1">
      <c r="B22" s="4" t="inlineStr">
        <is>
          <t>CAPITAL EXPENDITURE (FIT-OUT LED — LEASED PROPERTY)</t>
        </is>
      </c>
      <c r="C22" s="5" t="n"/>
      <c r="D22" s="5" t="n"/>
      <c r="E22" s="5" t="n"/>
      <c r="F22" s="5" t="n"/>
    </row>
    <row r="23" ht="18" customHeight="1">
      <c r="B23" s="26" t="inlineStr">
        <is>
          <t>Lease deposit &amp; legal</t>
        </is>
      </c>
      <c r="D23" s="32" t="n">
        <v>45000</v>
      </c>
    </row>
    <row r="24" ht="18" customHeight="1">
      <c r="B24" s="26" t="inlineStr">
        <is>
          <t>Building refurbishment &amp; fit-out</t>
        </is>
      </c>
      <c r="D24" s="32" t="n">
        <v>240000</v>
      </c>
    </row>
    <row r="25" ht="18" customHeight="1">
      <c r="B25" s="26" t="inlineStr">
        <is>
          <t>FF&amp;E (rooms, beds, furniture)</t>
        </is>
      </c>
      <c r="D25" s="32" t="n">
        <v>120000</v>
      </c>
    </row>
    <row r="26" ht="18" customHeight="1">
      <c r="B26" s="26" t="inlineStr">
        <is>
          <t>Kitchen &amp; F&amp;B equipment</t>
        </is>
      </c>
      <c r="D26" s="32" t="n">
        <v>55000</v>
      </c>
    </row>
    <row r="27" ht="18" customHeight="1">
      <c r="B27" s="26" t="inlineStr">
        <is>
          <t>IT, PMS, POS &amp; networking</t>
        </is>
      </c>
      <c r="D27" s="32" t="n">
        <v>30000</v>
      </c>
    </row>
    <row r="28" ht="18" customHeight="1">
      <c r="B28" s="26" t="inlineStr">
        <is>
          <t>Branding, signage &amp; website</t>
        </is>
      </c>
      <c r="D28" s="32" t="n">
        <v>25000</v>
      </c>
    </row>
    <row r="29" ht="18" customHeight="1">
      <c r="B29" s="26" t="inlineStr">
        <is>
          <t>Pre-opening payroll &amp; training</t>
        </is>
      </c>
      <c r="D29" s="32" t="n">
        <v>35000</v>
      </c>
    </row>
    <row r="30" ht="18" customHeight="1">
      <c r="B30" s="26" t="inlineStr">
        <is>
          <t>Working capital buffer</t>
        </is>
      </c>
      <c r="D30" s="32" t="n">
        <v>50000</v>
      </c>
    </row>
    <row r="31">
      <c r="B31" s="33" t="inlineStr">
        <is>
          <t>Total capex required</t>
        </is>
      </c>
      <c r="D31" s="19">
        <f>SUM(D23:D30)</f>
        <v/>
      </c>
    </row>
    <row r="32"/>
    <row r="33" ht="24" customHeight="1">
      <c r="B33" s="4" t="inlineStr">
        <is>
          <t>FUNDING MIX</t>
        </is>
      </c>
      <c r="C33" s="5" t="n"/>
      <c r="D33" s="5" t="n"/>
      <c r="E33" s="5" t="n"/>
      <c r="F33" s="5" t="n"/>
    </row>
    <row r="34" ht="18" customHeight="1">
      <c r="B34" s="26" t="inlineStr">
        <is>
          <t>Founder equity (incl. SURE refund)</t>
        </is>
      </c>
      <c r="D34" s="32" t="n">
        <v>180000</v>
      </c>
      <c r="F34" s="34">
        <f>IF($D$34="","",D34/SUM($D$34:$D$37))</f>
        <v/>
      </c>
    </row>
    <row r="35" ht="18" customHeight="1">
      <c r="B35" s="26" t="inlineStr">
        <is>
          <t>LEO Priming grant</t>
        </is>
      </c>
      <c r="D35" s="32" t="n">
        <v>80000</v>
      </c>
      <c r="F35" s="34">
        <f>IF($D$35="","",D35/SUM($D$34:$D$37))</f>
        <v/>
      </c>
    </row>
    <row r="36" ht="18" customHeight="1">
      <c r="B36" s="26" t="inlineStr">
        <is>
          <t>Bank / SBCI term loan</t>
        </is>
      </c>
      <c r="D36" s="32" t="n">
        <v>300000</v>
      </c>
      <c r="F36" s="34">
        <f>IF($D$36="","",D36/SUM($D$34:$D$37))</f>
        <v/>
      </c>
    </row>
    <row r="37" ht="18" customHeight="1">
      <c r="B37" s="26" t="inlineStr">
        <is>
          <t>Microfinance Ireland loan</t>
        </is>
      </c>
      <c r="D37" s="32" t="n">
        <v>40000</v>
      </c>
      <c r="F37" s="34">
        <f>IF($D$37="","",D37/SUM($D$34:$D$37))</f>
        <v/>
      </c>
    </row>
    <row r="38">
      <c r="B38" s="33" t="inlineStr">
        <is>
          <t>Total funding raised</t>
        </is>
      </c>
      <c r="D38" s="19">
        <f>SUM(D34:D37)</f>
        <v/>
      </c>
    </row>
    <row r="39">
      <c r="B39" s="35" t="inlineStr">
        <is>
          <t>Funding vs capex (surplus/gap)</t>
        </is>
      </c>
      <c r="D39" s="19">
        <f>'Assumptions'!D38-'Assumptions'!D31</f>
        <v/>
      </c>
    </row>
    <row r="40"/>
    <row r="41" ht="24" customHeight="1">
      <c r="B41" s="4" t="inlineStr">
        <is>
          <t>SOURCES &amp; BENCHMARK NOTES</t>
        </is>
      </c>
      <c r="C41" s="5" t="n"/>
      <c r="D41" s="5" t="n"/>
      <c r="E41" s="5" t="n"/>
      <c r="F41" s="5" t="n"/>
    </row>
    <row r="42" ht="30" customHeight="1">
      <c r="B42" s="36" t="inlineStr">
        <is>
          <t xml:space="preserve">  ADR/occupancy/RevPAR benchmarks: Fáilte Ireland &amp; STR Ireland hotel performance reports (4-star/boutique ranges).</t>
        </is>
      </c>
    </row>
    <row r="43" ht="30" customHeight="1">
      <c r="B43" s="36" t="inlineStr">
        <is>
          <t xml:space="preserve">  Grant/funding figures: Local Enterprise Office (localenterprise.ie), Microfinance Ireland, SBCI, Fáilte Ireland investment schemes.</t>
        </is>
      </c>
    </row>
    <row r="44" ht="30" customHeight="1">
      <c r="B44" s="36" t="inlineStr">
        <is>
          <t xml:space="preserve">  Cost ratios (payroll ~30%, F&amp;B cost ~30%): USALI hotel P&amp;L conventions.</t>
        </is>
      </c>
    </row>
    <row r="45" ht="30" customHeight="1">
      <c r="B45" s="36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25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Boutique Hotel · Procurement</dc:title>
  <dcterms:created xsi:type="dcterms:W3CDTF">2026-06-04T13:10:55Z</dcterms:created>
  <dcterms:modified xsi:type="dcterms:W3CDTF">2026-06-04T13:10:55Z</dcterms:modified>
</cp:coreProperties>
</file>