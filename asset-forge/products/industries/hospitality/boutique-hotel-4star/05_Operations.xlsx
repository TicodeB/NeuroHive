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Data Entry" sheetId="1" state="visible" r:id="rId1"/>
    <sheet name="KPI Dashboard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0.0%"/>
    <numFmt numFmtId="166" formatCode="#,##0\ &quot;€&quot;"/>
    <numFmt numFmtId="167" formatCode="DD/MM/YYYY"/>
    <numFmt numFmtId="168" formatCode="0.0"/>
  </numFmts>
  <fonts count="18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color rgb="006B7280"/>
      <sz val="9"/>
    </font>
    <font>
      <name val="Calibri"/>
      <b val="1"/>
      <color rgb="006B7280"/>
      <sz val="9"/>
    </font>
    <font>
      <name val="Calibri"/>
      <b val="1"/>
      <color rgb="002D6CDF"/>
      <sz val="20"/>
    </font>
    <font>
      <name val="Calibri"/>
      <b val="1"/>
      <color rgb="0015A38C"/>
      <sz val="20"/>
    </font>
    <font>
      <name val="Calibri"/>
      <b val="1"/>
      <color rgb="001A2B45"/>
      <sz val="20"/>
    </font>
  </fonts>
  <fills count="9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1A2B45"/>
      </patternFill>
    </fill>
  </fills>
  <borders count="12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5" borderId="4" applyAlignment="1" pivotButton="0" quotePrefix="0" xfId="0">
      <alignment horizontal="center" vertical="center" wrapText="1"/>
    </xf>
    <xf numFmtId="167" fontId="8" fillId="3" borderId="2" applyAlignment="1" pivotButton="0" quotePrefix="0" xfId="0">
      <alignment horizontal="left" vertical="center" indent="1"/>
    </xf>
    <xf numFmtId="1" fontId="8" fillId="3" borderId="2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3" applyAlignment="1" pivotButton="0" quotePrefix="0" xfId="0">
      <alignment horizontal="left" vertical="center" indent="1"/>
    </xf>
    <xf numFmtId="165" fontId="6" fillId="4" borderId="3" applyAlignment="1" pivotButton="0" quotePrefix="0" xfId="0">
      <alignment horizontal="left" vertical="center" indent="1"/>
    </xf>
    <xf numFmtId="165" fontId="8" fillId="4" borderId="3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8" fillId="6" borderId="3" applyAlignment="1" pivotButton="0" quotePrefix="0" xfId="0">
      <alignment horizontal="left" vertical="center" indent="1"/>
    </xf>
    <xf numFmtId="166" fontId="6" fillId="4" borderId="3" applyAlignment="1" pivotButton="0" quotePrefix="0" xfId="0">
      <alignment horizontal="left" vertical="center" indent="1"/>
    </xf>
    <xf numFmtId="166" fontId="8" fillId="4" borderId="3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168" fontId="6" fillId="4" borderId="3" applyAlignment="1" pivotButton="0" quotePrefix="0" xfId="0">
      <alignment horizontal="left" vertical="center" indent="1"/>
    </xf>
    <xf numFmtId="168" fontId="8" fillId="4" borderId="3" applyAlignment="1" pivotButton="0" quotePrefix="0" xfId="0">
      <alignment horizontal="left" vertical="center" indent="1"/>
    </xf>
    <xf numFmtId="165" fontId="6" fillId="3" borderId="2" applyAlignment="1" pivotButton="0" quotePrefix="0" xfId="0">
      <alignment horizontal="left" vertical="center" indent="1"/>
    </xf>
    <xf numFmtId="168" fontId="6" fillId="3" borderId="2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2" borderId="6" pivotButton="0" quotePrefix="0" xfId="0"/>
    <xf numFmtId="0" fontId="0" fillId="8" borderId="6" pivotButton="0" quotePrefix="0" xfId="0"/>
    <xf numFmtId="0" fontId="14" fillId="7" borderId="8" applyAlignment="1" pivotButton="0" quotePrefix="0" xfId="0">
      <alignment horizontal="left" vertical="center" indent="1"/>
    </xf>
    <xf numFmtId="0" fontId="0" fillId="0" borderId="9" pivotButton="0" quotePrefix="0" xfId="0"/>
    <xf numFmtId="165" fontId="15" fillId="7" borderId="8" applyAlignment="1" pivotButton="0" quotePrefix="0" xfId="0">
      <alignment horizontal="left" vertical="center" indent="1"/>
    </xf>
    <xf numFmtId="166" fontId="16" fillId="7" borderId="8" applyAlignment="1" pivotButton="0" quotePrefix="0" xfId="0">
      <alignment horizontal="left" vertical="center" indent="1"/>
    </xf>
    <xf numFmtId="166" fontId="17" fillId="7" borderId="8" applyAlignment="1" pivotButton="0" quotePrefix="0" xfId="0">
      <alignment horizontal="left" vertical="center" indent="1"/>
    </xf>
    <xf numFmtId="166" fontId="15" fillId="7" borderId="8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9" fillId="0" borderId="0" applyAlignment="1" pivotButton="0" quotePrefix="0" xfId="0">
      <alignment horizontal="left" vertical="center"/>
    </xf>
    <xf numFmtId="1" fontId="6" fillId="4" borderId="3" pivotButton="0" quotePrefix="0" xfId="0"/>
    <xf numFmtId="0" fontId="4" fillId="0" borderId="0" applyAlignment="1" pivotButton="0" quotePrefix="0" xfId="0">
      <alignment horizontal="left" vertical="center"/>
    </xf>
    <xf numFmtId="1" fontId="0" fillId="3" borderId="2" pivotButton="0" quotePrefix="0" xfId="0"/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5" fontId="0" fillId="3" borderId="2" pivotButton="0" quotePrefix="0" xfId="0"/>
    <xf numFmtId="164" fontId="6" fillId="4" borderId="3" pivotButton="0" quotePrefix="0" xfId="0"/>
    <xf numFmtId="166" fontId="6" fillId="4" borderId="3" pivotButton="0" quotePrefix="0" xfId="0"/>
    <xf numFmtId="166" fontId="0" fillId="3" borderId="2" pivotButton="0" quotePrefix="0" xfId="0"/>
    <xf numFmtId="0" fontId="7" fillId="0" borderId="0" applyAlignment="1" pivotButton="0" quotePrefix="0" xfId="0">
      <alignment horizontal="left" vertical="center"/>
    </xf>
    <xf numFmtId="165" fontId="8" fillId="4" borderId="3" pivotButton="0" quotePrefix="0" xfId="0"/>
    <xf numFmtId="0" fontId="10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color rgb="001E9E6A"/>
        <sz val="9.5"/>
      </font>
      <fill>
        <patternFill patternType="solid">
          <fgColor rgb="00E6F4EC"/>
        </patternFill>
      </fill>
    </dxf>
    <dxf>
      <font>
        <name val="Calibri"/>
        <color rgb="00B26B00"/>
        <sz val="9.5"/>
      </font>
      <fill>
        <patternFill patternType="solid">
          <fgColor rgb="00FBEFD6"/>
        </patternFill>
      </fill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rooms sold (sample)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'Daily Data Entry'!$C$5:$C$11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L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2.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8" customHeight="1">
      <c r="B1" s="1" t="inlineStr">
        <is>
          <t>Daily Data Entry</t>
        </is>
      </c>
    </row>
    <row r="2" ht="20" customHeight="1">
      <c r="B2" s="2" t="inlineStr">
        <is>
          <t>Phase 5 · Log the day — the dashboard reads from here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B4" s="4" t="inlineStr">
        <is>
          <t>Date</t>
        </is>
      </c>
      <c r="C4" s="4" t="inlineStr">
        <is>
          <t>Rooms sold</t>
        </is>
      </c>
      <c r="D4" s="4" t="inlineStr">
        <is>
          <t>Rooms avail</t>
        </is>
      </c>
      <c r="E4" s="4" t="inlineStr">
        <is>
          <t>Rooms rev €</t>
        </is>
      </c>
      <c r="F4" s="4" t="inlineStr">
        <is>
          <t>F&amp;B rev €</t>
        </is>
      </c>
      <c r="G4" s="4" t="inlineStr">
        <is>
          <t>F&amp;B cost €</t>
        </is>
      </c>
      <c r="H4" s="4" t="inlineStr">
        <is>
          <t>Direct bookings</t>
        </is>
      </c>
      <c r="I4" s="4" t="inlineStr">
        <is>
          <t>Total bookings</t>
        </is>
      </c>
      <c r="J4" s="4" t="inlineStr">
        <is>
          <t>Repeat guests</t>
        </is>
      </c>
      <c r="K4" s="4" t="inlineStr">
        <is>
          <t>NPS responses</t>
        </is>
      </c>
    </row>
    <row r="5" ht="19" customHeight="1">
      <c r="B5" s="5" t="n">
        <v>46174</v>
      </c>
      <c r="C5" s="6" t="n">
        <v>18</v>
      </c>
      <c r="D5" s="6" t="n">
        <v>24</v>
      </c>
      <c r="E5" s="7" t="n">
        <v>2484</v>
      </c>
      <c r="F5" s="7" t="n">
        <v>690</v>
      </c>
      <c r="G5" s="7" t="n">
        <v>221</v>
      </c>
      <c r="H5" s="6" t="n">
        <v>7</v>
      </c>
      <c r="I5" s="6" t="n">
        <v>17</v>
      </c>
      <c r="J5" s="6" t="n">
        <v>5</v>
      </c>
      <c r="K5" s="6" t="n">
        <v>60</v>
      </c>
      <c r="L5" s="8" t="n"/>
    </row>
    <row r="6" ht="19" customHeight="1">
      <c r="B6" s="5" t="n">
        <v>46175</v>
      </c>
      <c r="C6" s="6" t="n">
        <v>20</v>
      </c>
      <c r="D6" s="6" t="n">
        <v>24</v>
      </c>
      <c r="E6" s="7" t="n">
        <v>2760</v>
      </c>
      <c r="F6" s="7" t="n">
        <v>760</v>
      </c>
      <c r="G6" s="7" t="n">
        <v>243</v>
      </c>
      <c r="H6" s="6" t="n">
        <v>8</v>
      </c>
      <c r="I6" s="6" t="n">
        <v>18</v>
      </c>
      <c r="J6" s="6" t="n">
        <v>6</v>
      </c>
      <c r="K6" s="6" t="n">
        <v>58</v>
      </c>
      <c r="L6" s="9" t="n"/>
    </row>
    <row r="7" ht="19" customHeight="1">
      <c r="B7" s="5" t="n">
        <v>46176</v>
      </c>
      <c r="C7" s="6" t="n">
        <v>17</v>
      </c>
      <c r="D7" s="6" t="n">
        <v>24</v>
      </c>
      <c r="E7" s="7" t="n">
        <v>2295</v>
      </c>
      <c r="F7" s="7" t="n">
        <v>640</v>
      </c>
      <c r="G7" s="7" t="n">
        <v>205</v>
      </c>
      <c r="H7" s="6" t="n">
        <v>6</v>
      </c>
      <c r="I7" s="6" t="n">
        <v>16</v>
      </c>
      <c r="J7" s="6" t="n">
        <v>4</v>
      </c>
      <c r="K7" s="6" t="n">
        <v>62</v>
      </c>
      <c r="L7" s="8" t="n"/>
    </row>
    <row r="8" ht="19" customHeight="1">
      <c r="B8" s="5" t="n">
        <v>46177</v>
      </c>
      <c r="C8" s="6" t="n">
        <v>21</v>
      </c>
      <c r="D8" s="6" t="n">
        <v>24</v>
      </c>
      <c r="E8" s="7" t="n">
        <v>2898</v>
      </c>
      <c r="F8" s="7" t="n">
        <v>800</v>
      </c>
      <c r="G8" s="7" t="n">
        <v>256</v>
      </c>
      <c r="H8" s="6" t="n">
        <v>9</v>
      </c>
      <c r="I8" s="6" t="n">
        <v>19</v>
      </c>
      <c r="J8" s="6" t="n">
        <v>7</v>
      </c>
      <c r="K8" s="6" t="n">
        <v>55</v>
      </c>
      <c r="L8" s="9" t="n"/>
    </row>
    <row r="9" ht="19" customHeight="1">
      <c r="B9" s="5" t="n">
        <v>46178</v>
      </c>
      <c r="C9" s="6" t="n">
        <v>22</v>
      </c>
      <c r="D9" s="6" t="n">
        <v>24</v>
      </c>
      <c r="E9" s="7" t="n">
        <v>3036</v>
      </c>
      <c r="F9" s="7" t="n">
        <v>840</v>
      </c>
      <c r="G9" s="7" t="n">
        <v>269</v>
      </c>
      <c r="H9" s="6" t="n">
        <v>8</v>
      </c>
      <c r="I9" s="6" t="n">
        <v>20</v>
      </c>
      <c r="J9" s="6" t="n">
        <v>6</v>
      </c>
      <c r="K9" s="6" t="n">
        <v>59</v>
      </c>
      <c r="L9" s="8" t="n"/>
    </row>
    <row r="10" ht="19" customHeight="1">
      <c r="B10" s="5" t="n">
        <v>46179</v>
      </c>
      <c r="C10" s="6" t="n">
        <v>19</v>
      </c>
      <c r="D10" s="6" t="n">
        <v>24</v>
      </c>
      <c r="E10" s="7" t="n">
        <v>2622</v>
      </c>
      <c r="F10" s="7" t="n">
        <v>720</v>
      </c>
      <c r="G10" s="7" t="n">
        <v>230</v>
      </c>
      <c r="H10" s="6" t="n">
        <v>7</v>
      </c>
      <c r="I10" s="6" t="n">
        <v>18</v>
      </c>
      <c r="J10" s="6" t="n">
        <v>5</v>
      </c>
      <c r="K10" s="6" t="n">
        <v>61</v>
      </c>
      <c r="L10" s="9" t="n"/>
    </row>
    <row r="11" ht="19" customHeight="1">
      <c r="B11" s="5" t="n">
        <v>46180</v>
      </c>
      <c r="C11" s="6" t="n">
        <v>16</v>
      </c>
      <c r="D11" s="6" t="n">
        <v>24</v>
      </c>
      <c r="E11" s="7" t="n">
        <v>2160</v>
      </c>
      <c r="F11" s="7" t="n">
        <v>600</v>
      </c>
      <c r="G11" s="7" t="n">
        <v>192</v>
      </c>
      <c r="H11" s="6" t="n">
        <v>6</v>
      </c>
      <c r="I11" s="6" t="n">
        <v>15</v>
      </c>
      <c r="J11" s="6" t="n">
        <v>4</v>
      </c>
      <c r="K11" s="6" t="n">
        <v>57</v>
      </c>
      <c r="L11" s="8" t="n"/>
    </row>
    <row r="12" ht="19" customHeight="1">
      <c r="B12" s="5" t="n"/>
      <c r="C12" s="6" t="n"/>
      <c r="D12" s="6" t="n"/>
      <c r="E12" s="7" t="n"/>
      <c r="F12" s="7" t="n"/>
      <c r="G12" s="7" t="n"/>
      <c r="H12" s="6" t="n"/>
      <c r="I12" s="6" t="n"/>
      <c r="J12" s="6" t="n"/>
      <c r="K12" s="6" t="n"/>
      <c r="L12" s="9" t="n"/>
    </row>
    <row r="13" ht="19" customHeight="1">
      <c r="B13" s="5" t="n"/>
      <c r="C13" s="6" t="n"/>
      <c r="D13" s="6" t="n"/>
      <c r="E13" s="7" t="n"/>
      <c r="F13" s="7" t="n"/>
      <c r="G13" s="7" t="n"/>
      <c r="H13" s="6" t="n"/>
      <c r="I13" s="6" t="n"/>
      <c r="J13" s="6" t="n"/>
      <c r="K13" s="6" t="n"/>
      <c r="L13" s="8" t="n"/>
    </row>
    <row r="14" ht="19" customHeight="1">
      <c r="B14" s="5" t="n"/>
      <c r="C14" s="6" t="n"/>
      <c r="D14" s="6" t="n"/>
      <c r="E14" s="7" t="n"/>
      <c r="F14" s="7" t="n"/>
      <c r="G14" s="7" t="n"/>
      <c r="H14" s="6" t="n"/>
      <c r="I14" s="6" t="n"/>
      <c r="J14" s="6" t="n"/>
      <c r="K14" s="6" t="n"/>
      <c r="L14" s="9" t="n"/>
    </row>
    <row r="15" ht="19" customHeight="1">
      <c r="B15" s="5" t="n"/>
      <c r="C15" s="6" t="n"/>
      <c r="D15" s="6" t="n"/>
      <c r="E15" s="7" t="n"/>
      <c r="F15" s="7" t="n"/>
      <c r="G15" s="7" t="n"/>
      <c r="H15" s="6" t="n"/>
      <c r="I15" s="6" t="n"/>
      <c r="J15" s="6" t="n"/>
      <c r="K15" s="6" t="n"/>
      <c r="L15" s="8" t="n"/>
    </row>
    <row r="16" ht="19" customHeight="1">
      <c r="B16" s="5" t="n"/>
      <c r="C16" s="6" t="n"/>
      <c r="D16" s="6" t="n"/>
      <c r="E16" s="7" t="n"/>
      <c r="F16" s="7" t="n"/>
      <c r="G16" s="7" t="n"/>
      <c r="H16" s="6" t="n"/>
      <c r="I16" s="6" t="n"/>
      <c r="J16" s="6" t="n"/>
      <c r="K16" s="6" t="n"/>
      <c r="L16" s="9" t="n"/>
    </row>
    <row r="17" ht="19" customHeight="1">
      <c r="B17" s="5" t="n"/>
      <c r="C17" s="6" t="n"/>
      <c r="D17" s="6" t="n"/>
      <c r="E17" s="7" t="n"/>
      <c r="F17" s="7" t="n"/>
      <c r="G17" s="7" t="n"/>
      <c r="H17" s="6" t="n"/>
      <c r="I17" s="6" t="n"/>
      <c r="J17" s="6" t="n"/>
      <c r="K17" s="6" t="n"/>
      <c r="L17" s="8" t="n"/>
    </row>
    <row r="18" ht="19" customHeight="1">
      <c r="B18" s="5" t="n"/>
      <c r="C18" s="6" t="n"/>
      <c r="D18" s="6" t="n"/>
      <c r="E18" s="7" t="n"/>
      <c r="F18" s="7" t="n"/>
      <c r="G18" s="7" t="n"/>
      <c r="H18" s="6" t="n"/>
      <c r="I18" s="6" t="n"/>
      <c r="J18" s="6" t="n"/>
      <c r="K18" s="6" t="n"/>
      <c r="L18" s="9" t="n"/>
    </row>
    <row r="19" ht="19" customHeight="1">
      <c r="B19" s="5" t="n"/>
      <c r="C19" s="6" t="n"/>
      <c r="D19" s="6" t="n"/>
      <c r="E19" s="7" t="n"/>
      <c r="F19" s="7" t="n"/>
      <c r="G19" s="7" t="n"/>
      <c r="H19" s="6" t="n"/>
      <c r="I19" s="6" t="n"/>
      <c r="J19" s="6" t="n"/>
      <c r="K19" s="6" t="n"/>
      <c r="L19" s="8" t="n"/>
    </row>
    <row r="20" ht="19" customHeight="1">
      <c r="B20" s="5" t="n"/>
      <c r="C20" s="6" t="n"/>
      <c r="D20" s="6" t="n"/>
      <c r="E20" s="7" t="n"/>
      <c r="F20" s="7" t="n"/>
      <c r="G20" s="7" t="n"/>
      <c r="H20" s="6" t="n"/>
      <c r="I20" s="6" t="n"/>
      <c r="J20" s="6" t="n"/>
      <c r="K20" s="6" t="n"/>
      <c r="L20" s="9" t="n"/>
    </row>
    <row r="21" ht="19" customHeight="1">
      <c r="B21" s="5" t="n"/>
      <c r="C21" s="6" t="n"/>
      <c r="D21" s="6" t="n"/>
      <c r="E21" s="7" t="n"/>
      <c r="F21" s="7" t="n"/>
      <c r="G21" s="7" t="n"/>
      <c r="H21" s="6" t="n"/>
      <c r="I21" s="6" t="n"/>
      <c r="J21" s="6" t="n"/>
      <c r="K21" s="6" t="n"/>
      <c r="L21" s="8" t="n"/>
    </row>
    <row r="22" ht="19" customHeight="1">
      <c r="B22" s="5" t="n"/>
      <c r="C22" s="6" t="n"/>
      <c r="D22" s="6" t="n"/>
      <c r="E22" s="7" t="n"/>
      <c r="F22" s="7" t="n"/>
      <c r="G22" s="7" t="n"/>
      <c r="H22" s="6" t="n"/>
      <c r="I22" s="6" t="n"/>
      <c r="J22" s="6" t="n"/>
      <c r="K22" s="6" t="n"/>
      <c r="L22" s="9" t="n"/>
    </row>
    <row r="23" ht="19" customHeight="1">
      <c r="B23" s="5" t="n"/>
      <c r="C23" s="6" t="n"/>
      <c r="D23" s="6" t="n"/>
      <c r="E23" s="7" t="n"/>
      <c r="F23" s="7" t="n"/>
      <c r="G23" s="7" t="n"/>
      <c r="H23" s="6" t="n"/>
      <c r="I23" s="6" t="n"/>
      <c r="J23" s="6" t="n"/>
      <c r="K23" s="6" t="n"/>
      <c r="L23" s="8" t="n"/>
    </row>
    <row r="24" ht="19" customHeight="1">
      <c r="B24" s="5" t="n"/>
      <c r="C24" s="6" t="n"/>
      <c r="D24" s="6" t="n"/>
      <c r="E24" s="7" t="n"/>
      <c r="F24" s="7" t="n"/>
      <c r="G24" s="7" t="n"/>
      <c r="H24" s="6" t="n"/>
      <c r="I24" s="6" t="n"/>
      <c r="J24" s="6" t="n"/>
      <c r="K24" s="6" t="n"/>
      <c r="L24" s="9" t="n"/>
    </row>
    <row r="25" ht="19" customHeight="1">
      <c r="B25" s="5" t="n"/>
      <c r="C25" s="6" t="n"/>
      <c r="D25" s="6" t="n"/>
      <c r="E25" s="7" t="n"/>
      <c r="F25" s="7" t="n"/>
      <c r="G25" s="7" t="n"/>
      <c r="H25" s="6" t="n"/>
      <c r="I25" s="6" t="n"/>
      <c r="J25" s="6" t="n"/>
      <c r="K25" s="6" t="n"/>
      <c r="L25" s="8" t="n"/>
    </row>
    <row r="26" ht="19" customHeight="1">
      <c r="B26" s="5" t="n"/>
      <c r="C26" s="6" t="n"/>
      <c r="D26" s="6" t="n"/>
      <c r="E26" s="7" t="n"/>
      <c r="F26" s="7" t="n"/>
      <c r="G26" s="7" t="n"/>
      <c r="H26" s="6" t="n"/>
      <c r="I26" s="6" t="n"/>
      <c r="J26" s="6" t="n"/>
      <c r="K26" s="6" t="n"/>
      <c r="L26" s="9" t="n"/>
    </row>
    <row r="27" ht="19" customHeight="1">
      <c r="B27" s="5" t="n"/>
      <c r="C27" s="6" t="n"/>
      <c r="D27" s="6" t="n"/>
      <c r="E27" s="7" t="n"/>
      <c r="F27" s="7" t="n"/>
      <c r="G27" s="7" t="n"/>
      <c r="H27" s="6" t="n"/>
      <c r="I27" s="6" t="n"/>
      <c r="J27" s="6" t="n"/>
      <c r="K27" s="6" t="n"/>
      <c r="L27" s="8" t="n"/>
    </row>
    <row r="28" ht="19" customHeight="1">
      <c r="B28" s="5" t="n"/>
      <c r="C28" s="6" t="n"/>
      <c r="D28" s="6" t="n"/>
      <c r="E28" s="7" t="n"/>
      <c r="F28" s="7" t="n"/>
      <c r="G28" s="7" t="n"/>
      <c r="H28" s="6" t="n"/>
      <c r="I28" s="6" t="n"/>
      <c r="J28" s="6" t="n"/>
      <c r="K28" s="6" t="n"/>
      <c r="L28" s="9" t="n"/>
    </row>
    <row r="29" ht="19" customHeight="1">
      <c r="B29" s="5" t="n"/>
      <c r="C29" s="6" t="n"/>
      <c r="D29" s="6" t="n"/>
      <c r="E29" s="7" t="n"/>
      <c r="F29" s="7" t="n"/>
      <c r="G29" s="7" t="n"/>
      <c r="H29" s="6" t="n"/>
      <c r="I29" s="6" t="n"/>
      <c r="J29" s="6" t="n"/>
      <c r="K29" s="6" t="n"/>
      <c r="L29" s="8" t="n"/>
    </row>
    <row r="30" ht="19" customHeight="1">
      <c r="B30" s="5" t="n"/>
      <c r="C30" s="6" t="n"/>
      <c r="D30" s="6" t="n"/>
      <c r="E30" s="7" t="n"/>
      <c r="F30" s="7" t="n"/>
      <c r="G30" s="7" t="n"/>
      <c r="H30" s="6" t="n"/>
      <c r="I30" s="6" t="n"/>
      <c r="J30" s="6" t="n"/>
      <c r="K30" s="6" t="n"/>
      <c r="L30" s="9" t="n"/>
    </row>
    <row r="31" ht="19" customHeight="1">
      <c r="B31" s="5" t="n"/>
      <c r="C31" s="6" t="n"/>
      <c r="D31" s="6" t="n"/>
      <c r="E31" s="7" t="n"/>
      <c r="F31" s="7" t="n"/>
      <c r="G31" s="7" t="n"/>
      <c r="H31" s="6" t="n"/>
      <c r="I31" s="6" t="n"/>
      <c r="J31" s="6" t="n"/>
      <c r="K31" s="6" t="n"/>
      <c r="L31" s="8" t="n"/>
    </row>
    <row r="32" ht="19" customHeight="1">
      <c r="B32" s="5" t="n"/>
      <c r="C32" s="6" t="n"/>
      <c r="D32" s="6" t="n"/>
      <c r="E32" s="7" t="n"/>
      <c r="F32" s="7" t="n"/>
      <c r="G32" s="7" t="n"/>
      <c r="H32" s="6" t="n"/>
      <c r="I32" s="6" t="n"/>
      <c r="J32" s="6" t="n"/>
      <c r="K32" s="6" t="n"/>
      <c r="L32" s="9" t="n"/>
    </row>
    <row r="33" ht="19" customHeight="1">
      <c r="B33" s="5" t="n"/>
      <c r="C33" s="6" t="n"/>
      <c r="D33" s="6" t="n"/>
      <c r="E33" s="7" t="n"/>
      <c r="F33" s="7" t="n"/>
      <c r="G33" s="7" t="n"/>
      <c r="H33" s="6" t="n"/>
      <c r="I33" s="6" t="n"/>
      <c r="J33" s="6" t="n"/>
      <c r="K33" s="6" t="n"/>
      <c r="L33" s="8" t="n"/>
    </row>
    <row r="34" ht="19" customHeight="1">
      <c r="B34" s="5" t="n"/>
      <c r="C34" s="6" t="n"/>
      <c r="D34" s="6" t="n"/>
      <c r="E34" s="7" t="n"/>
      <c r="F34" s="7" t="n"/>
      <c r="G34" s="7" t="n"/>
      <c r="H34" s="6" t="n"/>
      <c r="I34" s="6" t="n"/>
      <c r="J34" s="6" t="n"/>
      <c r="K34" s="6" t="n"/>
      <c r="L34" s="9" t="n"/>
    </row>
    <row r="35" ht="19" customHeight="1">
      <c r="B35" s="5" t="n"/>
      <c r="C35" s="6" t="n"/>
      <c r="D35" s="6" t="n"/>
      <c r="E35" s="7" t="n"/>
      <c r="F35" s="7" t="n"/>
      <c r="G35" s="7" t="n"/>
      <c r="H35" s="6" t="n"/>
      <c r="I35" s="6" t="n"/>
      <c r="J35" s="6" t="n"/>
      <c r="K35" s="6" t="n"/>
      <c r="L35" s="8" t="n"/>
    </row>
    <row r="36"/>
    <row r="37" ht="22" customHeight="1">
      <c r="B37" s="10" t="inlineStr">
        <is>
          <t>ASSET-FORGE · LEANTA Turnkey Pack · Boutique Hotel · v1.0 · 04/06/2026 · Phase 5 · data entry</t>
        </is>
      </c>
    </row>
  </sheetData>
  <mergeCells count="3">
    <mergeCell ref="B2:L2"/>
    <mergeCell ref="B1:L1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CDF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23.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Operations KPI Dashboard</t>
        </is>
      </c>
    </row>
    <row r="2" ht="20" customHeight="1">
      <c r="B2" s="2" t="inlineStr">
        <is>
          <t>Phase 5 · 15 live hotel metrics vs target with 🟢🟡🔴 status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4" customHeight="1">
      <c r="B4" s="11" t="inlineStr">
        <is>
          <t>METRICS VS TARGET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 ht="30" customHeight="1">
      <c r="B5" s="4" t="inlineStr">
        <is>
          <t>KPI</t>
        </is>
      </c>
      <c r="C5" s="4" t="inlineStr">
        <is>
          <t>Actual</t>
        </is>
      </c>
      <c r="D5" s="4" t="inlineStr">
        <is>
          <t>Target</t>
        </is>
      </c>
      <c r="E5" s="4" t="inlineStr">
        <is>
          <t>Status</t>
        </is>
      </c>
      <c r="F5" s="4" t="inlineStr">
        <is>
          <t>How it's measured</t>
        </is>
      </c>
      <c r="G5" s="4" t="inlineStr"/>
      <c r="H5" s="4" t="inlineStr"/>
      <c r="I5" s="4" t="inlineStr"/>
      <c r="J5" s="4" t="inlineStr"/>
      <c r="K5" s="4" t="inlineStr"/>
    </row>
    <row r="6" ht="19" customHeight="1">
      <c r="B6" s="13" t="inlineStr">
        <is>
          <t>Occupancy</t>
        </is>
      </c>
      <c r="C6" s="14">
        <f>IFERROR(SUM('Daily Data Entry'!C5:C35)/SUM('Daily Data Entry'!D5:D35),0)</f>
        <v/>
      </c>
      <c r="D6" s="15" t="n">
        <v>0.72</v>
      </c>
      <c r="E6" s="16">
        <f>IF(C6="","",IF(C6&gt;=0.7,"🟢 On target",IF(C6&gt;=0.55,"🟡 Watch","🔴 Action")))</f>
        <v/>
      </c>
      <c r="F6" s="17" t="inlineStr">
        <is>
          <t>Rooms sold ÷ rooms available</t>
        </is>
      </c>
      <c r="G6" s="18" t="n"/>
      <c r="H6" s="18" t="n"/>
      <c r="I6" s="18" t="n"/>
      <c r="J6" s="18" t="n"/>
      <c r="K6" s="18" t="n"/>
      <c r="L6" s="13" t="n"/>
    </row>
    <row r="7" ht="19" customHeight="1">
      <c r="B7" s="19" t="inlineStr">
        <is>
          <t>ADR (Avg Daily Rate)</t>
        </is>
      </c>
      <c r="C7" s="20">
        <f>IFERROR(SUM('Daily Data Entry'!E5:E35)/SUM('Daily Data Entry'!C5:C35),0)</f>
        <v/>
      </c>
      <c r="D7" s="21" t="n">
        <v>135</v>
      </c>
      <c r="E7" s="22">
        <f>IF(C7="","",IF(C7&gt;=130,"🟢 On target",IF(C7&gt;=110,"🟡 Watch","🔴 Action")))</f>
        <v/>
      </c>
      <c r="F7" s="23" t="inlineStr">
        <is>
          <t>Rooms revenue ÷ rooms sold</t>
        </is>
      </c>
      <c r="G7" s="18" t="n"/>
      <c r="H7" s="18" t="n"/>
      <c r="I7" s="18" t="n"/>
      <c r="J7" s="18" t="n"/>
      <c r="K7" s="18" t="n"/>
      <c r="L7" s="19" t="n"/>
    </row>
    <row r="8" ht="19" customHeight="1">
      <c r="B8" s="13" t="inlineStr">
        <is>
          <t>RevPAR</t>
        </is>
      </c>
      <c r="C8" s="20">
        <f>IFERROR(SUM('Daily Data Entry'!E5:E35)/SUM('Daily Data Entry'!D5:D35),0)</f>
        <v/>
      </c>
      <c r="D8" s="21" t="n">
        <v>97</v>
      </c>
      <c r="E8" s="16">
        <f>IF(C8="","",IF(C8&gt;=90,"🟢 On target",IF(C8&gt;=70,"🟡 Watch","🔴 Action")))</f>
        <v/>
      </c>
      <c r="F8" s="17" t="inlineStr">
        <is>
          <t>ADR × occupancy</t>
        </is>
      </c>
      <c r="G8" s="18" t="n"/>
      <c r="H8" s="18" t="n"/>
      <c r="I8" s="18" t="n"/>
      <c r="J8" s="18" t="n"/>
      <c r="K8" s="18" t="n"/>
      <c r="L8" s="13" t="n"/>
    </row>
    <row r="9" ht="19" customHeight="1">
      <c r="B9" s="19" t="inlineStr">
        <is>
          <t>GOPPAR</t>
        </is>
      </c>
      <c r="C9" s="20">
        <f>IFERROR(((SUM('Daily Data Entry'!E5:E35)+SUM('Daily Data Entry'!F5:F35))*(1-'Assumptions'!D14-'Assumptions'!D17-'Assumptions'!D18-'Assumptions'!D19-'Assumptions'!D20)-SUM('Daily Data Entry'!G5:G35))/SUM('Daily Data Entry'!D5:D35),0)</f>
        <v/>
      </c>
      <c r="D9" s="21" t="n">
        <v>45</v>
      </c>
      <c r="E9" s="22">
        <f>IF(C9="","",IF(C9&gt;=40,"🟢 On target",IF(C9&gt;=25,"🟡 Watch","🔴 Action")))</f>
        <v/>
      </c>
      <c r="F9" s="23" t="inlineStr">
        <is>
          <t>Gross operating profit per available room</t>
        </is>
      </c>
      <c r="G9" s="18" t="n"/>
      <c r="H9" s="18" t="n"/>
      <c r="I9" s="18" t="n"/>
      <c r="J9" s="18" t="n"/>
      <c r="K9" s="18" t="n"/>
      <c r="L9" s="19" t="n"/>
    </row>
    <row r="10" ht="19" customHeight="1">
      <c r="B10" s="13" t="inlineStr">
        <is>
          <t>Guest NPS</t>
        </is>
      </c>
      <c r="C10" s="24">
        <f>IFERROR(AVERAGE('Daily Data Entry'!L5:L35),0)</f>
        <v/>
      </c>
      <c r="D10" s="25" t="n">
        <v>60</v>
      </c>
      <c r="E10" s="16">
        <f>IF(C10="","",IF(C10&gt;=50,"🟢 On target",IF(C10&gt;=30,"🟡 Watch","🔴 Action")))</f>
        <v/>
      </c>
      <c r="F10" s="17" t="inlineStr">
        <is>
          <t>Net promoter score from guest surveys</t>
        </is>
      </c>
      <c r="G10" s="18" t="n"/>
      <c r="H10" s="18" t="n"/>
      <c r="I10" s="18" t="n"/>
      <c r="J10" s="18" t="n"/>
      <c r="K10" s="18" t="n"/>
      <c r="L10" s="13" t="n"/>
    </row>
    <row r="11" ht="19" customHeight="1">
      <c r="B11" s="19" t="inlineStr">
        <is>
          <t>Labour cost %</t>
        </is>
      </c>
      <c r="C11" s="26" t="n">
        <v>0.31</v>
      </c>
      <c r="D11" s="15" t="n">
        <v>0.3</v>
      </c>
      <c r="E11" s="22">
        <f>IF(C11="","",IF(C11&lt;=0.32,"🟢 On target",IF(C11&lt;=0.4,"🟡 Watch","🔴 Action")))</f>
        <v/>
      </c>
      <c r="F11" s="23" t="inlineStr">
        <is>
          <t>Total payroll ÷ total revenue</t>
        </is>
      </c>
      <c r="G11" s="18" t="n"/>
      <c r="H11" s="18" t="n"/>
      <c r="I11" s="18" t="n"/>
      <c r="J11" s="18" t="n"/>
      <c r="K11" s="18" t="n"/>
      <c r="L11" s="19" t="n"/>
    </row>
    <row r="12" ht="19" customHeight="1">
      <c r="B12" s="13" t="inlineStr">
        <is>
          <t>F&amp;B cost %</t>
        </is>
      </c>
      <c r="C12" s="14">
        <f>IFERROR(SUM('Daily Data Entry'!G5:G35)/SUM('Daily Data Entry'!F5:F35),0)</f>
        <v/>
      </c>
      <c r="D12" s="15" t="n">
        <v>0.3</v>
      </c>
      <c r="E12" s="16">
        <f>IF(C12="","",IF(C12&lt;=0.3,"🟢 On target",IF(C12&lt;=0.38,"🟡 Watch","🔴 Action")))</f>
        <v/>
      </c>
      <c r="F12" s="17" t="inlineStr">
        <is>
          <t>Cost of F&amp;B sales ÷ F&amp;B revenue</t>
        </is>
      </c>
      <c r="G12" s="18" t="n"/>
      <c r="H12" s="18" t="n"/>
      <c r="I12" s="18" t="n"/>
      <c r="J12" s="18" t="n"/>
      <c r="K12" s="18" t="n"/>
      <c r="L12" s="13" t="n"/>
    </row>
    <row r="13" ht="19" customHeight="1">
      <c r="B13" s="19" t="inlineStr">
        <is>
          <t>Repeat guest %</t>
        </is>
      </c>
      <c r="C13" s="14">
        <f>IFERROR(SUM('Daily Data Entry'!K5:K35)/SUM('Daily Data Entry'!J5:J35),0)</f>
        <v/>
      </c>
      <c r="D13" s="15" t="n">
        <v>0.25</v>
      </c>
      <c r="E13" s="22">
        <f>IF(C13="","",IF(C13&gt;=0.25,"🟢 On target",IF(C13&gt;=0.15,"🟡 Watch","🔴 Action")))</f>
        <v/>
      </c>
      <c r="F13" s="23" t="inlineStr">
        <is>
          <t>Returning guests ÷ total guests</t>
        </is>
      </c>
      <c r="G13" s="18" t="n"/>
      <c r="H13" s="18" t="n"/>
      <c r="I13" s="18" t="n"/>
      <c r="J13" s="18" t="n"/>
      <c r="K13" s="18" t="n"/>
      <c r="L13" s="19" t="n"/>
    </row>
    <row r="14" ht="19" customHeight="1">
      <c r="B14" s="13" t="inlineStr">
        <is>
          <t>ALOS (nights)</t>
        </is>
      </c>
      <c r="C14" s="27" t="n">
        <v>1.9</v>
      </c>
      <c r="D14" s="25" t="n">
        <v>2</v>
      </c>
      <c r="E14" s="16">
        <f>IF(C14="","",IF(C14&gt;=1.8,"🟢 On target",IF(C14&gt;=1.3,"🟡 Watch","🔴 Action")))</f>
        <v/>
      </c>
      <c r="F14" s="17" t="inlineStr">
        <is>
          <t>Average length of stay</t>
        </is>
      </c>
      <c r="G14" s="18" t="n"/>
      <c r="H14" s="18" t="n"/>
      <c r="I14" s="18" t="n"/>
      <c r="J14" s="18" t="n"/>
      <c r="K14" s="18" t="n"/>
      <c r="L14" s="13" t="n"/>
    </row>
    <row r="15" ht="19" customHeight="1">
      <c r="B15" s="19" t="inlineStr">
        <is>
          <t>Direct booking %</t>
        </is>
      </c>
      <c r="C15" s="14">
        <f>IFERROR(SUM('Daily Data Entry'!I5:I35)/SUM('Daily Data Entry'!J5:J35),0)</f>
        <v/>
      </c>
      <c r="D15" s="15" t="n">
        <v>0.4</v>
      </c>
      <c r="E15" s="22">
        <f>IF(C15="","",IF(C15&gt;=0.4,"🟢 On target",IF(C15&gt;=0.25,"🟡 Watch","🔴 Action")))</f>
        <v/>
      </c>
      <c r="F15" s="23" t="inlineStr">
        <is>
          <t>Direct bookings ÷ total (vs OTA)</t>
        </is>
      </c>
      <c r="G15" s="18" t="n"/>
      <c r="H15" s="18" t="n"/>
      <c r="I15" s="18" t="n"/>
      <c r="J15" s="18" t="n"/>
      <c r="K15" s="18" t="n"/>
      <c r="L15" s="19" t="n"/>
    </row>
    <row r="16" ht="19" customHeight="1">
      <c r="B16" s="13" t="inlineStr">
        <is>
          <t>Room turnaround (min)</t>
        </is>
      </c>
      <c r="C16" s="27" t="n">
        <v>33</v>
      </c>
      <c r="D16" s="25" t="n">
        <v>30</v>
      </c>
      <c r="E16" s="16">
        <f>IF(C16="","",IF(C16&lt;=30,"🟢 On target",IF(C16&lt;=45,"🟡 Watch","🔴 Action")))</f>
        <v/>
      </c>
      <c r="F16" s="17" t="inlineStr">
        <is>
          <t>Avg housekeeping turnaround per room</t>
        </is>
      </c>
      <c r="G16" s="18" t="n"/>
      <c r="H16" s="18" t="n"/>
      <c r="I16" s="18" t="n"/>
      <c r="J16" s="18" t="n"/>
      <c r="K16" s="18" t="n"/>
      <c r="L16" s="13" t="n"/>
    </row>
    <row r="17" ht="19" customHeight="1">
      <c r="B17" s="19" t="inlineStr">
        <is>
          <t>Maint. response (hrs)</t>
        </is>
      </c>
      <c r="C17" s="27" t="n">
        <v>5</v>
      </c>
      <c r="D17" s="25" t="n">
        <v>4</v>
      </c>
      <c r="E17" s="22">
        <f>IF(C17="","",IF(C17&lt;=4,"🟢 On target",IF(C17&lt;=12,"🟡 Watch","🔴 Action")))</f>
        <v/>
      </c>
      <c r="F17" s="23" t="inlineStr">
        <is>
          <t>Avg time to resolve a maintenance ticket</t>
        </is>
      </c>
      <c r="G17" s="18" t="n"/>
      <c r="H17" s="18" t="n"/>
      <c r="I17" s="18" t="n"/>
      <c r="J17" s="18" t="n"/>
      <c r="K17" s="18" t="n"/>
      <c r="L17" s="19" t="n"/>
    </row>
    <row r="18" ht="19" customHeight="1">
      <c r="B18" s="13" t="inlineStr">
        <is>
          <t>Staff turnover %</t>
        </is>
      </c>
      <c r="C18" s="26" t="n">
        <v>0.28</v>
      </c>
      <c r="D18" s="15" t="n">
        <v>0.25</v>
      </c>
      <c r="E18" s="16">
        <f>IF(C18="","",IF(C18&lt;=0.25,"🟢 On target",IF(C18&lt;=0.45,"🟡 Watch","🔴 Action")))</f>
        <v/>
      </c>
      <c r="F18" s="17" t="inlineStr">
        <is>
          <t>Annualised staff leavers ÷ headcount</t>
        </is>
      </c>
      <c r="G18" s="18" t="n"/>
      <c r="H18" s="18" t="n"/>
      <c r="I18" s="18" t="n"/>
      <c r="J18" s="18" t="n"/>
      <c r="K18" s="18" t="n"/>
      <c r="L18" s="13" t="n"/>
    </row>
    <row r="19" ht="19" customHeight="1">
      <c r="B19" s="19" t="inlineStr">
        <is>
          <t>Complaints / 100 stays</t>
        </is>
      </c>
      <c r="C19" s="27" t="n">
        <v>4</v>
      </c>
      <c r="D19" s="25" t="n">
        <v>3</v>
      </c>
      <c r="E19" s="22">
        <f>IF(C19="","",IF(C19&lt;=3,"🟢 On target",IF(C19&lt;=7,"🟡 Watch","🔴 Action")))</f>
        <v/>
      </c>
      <c r="F19" s="23" t="inlineStr">
        <is>
          <t>Logged complaints per 100 stays</t>
        </is>
      </c>
      <c r="G19" s="18" t="n"/>
      <c r="H19" s="18" t="n"/>
      <c r="I19" s="18" t="n"/>
      <c r="J19" s="18" t="n"/>
      <c r="K19" s="18" t="n"/>
      <c r="L19" s="19" t="n"/>
    </row>
    <row r="20" ht="19" customHeight="1">
      <c r="B20" s="13" t="inlineStr">
        <is>
          <t>Payment collection %</t>
        </is>
      </c>
      <c r="C20" s="26" t="n">
        <v>0.97</v>
      </c>
      <c r="D20" s="15" t="n">
        <v>0.98</v>
      </c>
      <c r="E20" s="16">
        <f>IF(C20="","",IF(C20&gt;=0.98,"🟢 On target",IF(C20&gt;=0.92,"🟡 Watch","🔴 Action")))</f>
        <v/>
      </c>
      <c r="F20" s="17" t="inlineStr">
        <is>
          <t>Cash collected ÷ invoiced</t>
        </is>
      </c>
      <c r="G20" s="18" t="n"/>
      <c r="H20" s="18" t="n"/>
      <c r="I20" s="18" t="n"/>
      <c r="J20" s="18" t="n"/>
      <c r="K20" s="18" t="n"/>
      <c r="L20" s="13" t="n"/>
    </row>
    <row r="21"/>
    <row r="22" ht="24" customHeight="1">
      <c r="B22" s="11" t="inlineStr">
        <is>
          <t>HEADLINE SCORECARD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4" customHeight="1">
      <c r="B23" s="28" t="inlineStr"/>
      <c r="C23" s="29" t="n"/>
      <c r="E23" s="30" t="inlineStr"/>
      <c r="F23" s="29" t="n"/>
      <c r="H23" s="31" t="inlineStr"/>
      <c r="I23" s="29" t="n"/>
      <c r="K23" s="28" t="inlineStr"/>
      <c r="L23" s="29" t="n"/>
    </row>
    <row r="24" ht="18" customHeight="1">
      <c r="B24" s="32" t="inlineStr">
        <is>
          <t>OCCUPANCY</t>
        </is>
      </c>
      <c r="C24" s="33" t="n"/>
      <c r="E24" s="32" t="inlineStr">
        <is>
          <t>ADR (AVG DAILY RATE)</t>
        </is>
      </c>
      <c r="F24" s="33" t="n"/>
      <c r="H24" s="32" t="inlineStr">
        <is>
          <t>REVPAR</t>
        </is>
      </c>
      <c r="I24" s="33" t="n"/>
      <c r="K24" s="32" t="inlineStr">
        <is>
          <t>GOPPAR</t>
        </is>
      </c>
      <c r="L24" s="33" t="n"/>
    </row>
    <row r="25" ht="22" customHeight="1">
      <c r="B25" s="34">
        <f>IFERROR(C6,0)</f>
        <v/>
      </c>
      <c r="C25" s="33" t="n"/>
      <c r="E25" s="35">
        <f>IFERROR(C7,0)</f>
        <v/>
      </c>
      <c r="F25" s="33" t="n"/>
      <c r="H25" s="36">
        <f>IFERROR(C8,0)</f>
        <v/>
      </c>
      <c r="I25" s="33" t="n"/>
      <c r="K25" s="37">
        <f>IFERROR(C9,0)</f>
        <v/>
      </c>
      <c r="L25" s="33" t="n"/>
    </row>
    <row r="26" ht="14" customHeight="1">
      <c r="B26" s="38" t="n"/>
      <c r="C26" s="39" t="n"/>
      <c r="E26" s="38" t="n"/>
      <c r="F26" s="39" t="n"/>
      <c r="H26" s="38" t="n"/>
      <c r="I26" s="39" t="n"/>
      <c r="K26" s="38" t="n"/>
      <c r="L26" s="39" t="n"/>
    </row>
    <row r="27"/>
    <row r="28" ht="24" customHeight="1">
      <c r="B28" s="11" t="inlineStr">
        <is>
          <t>STATUS SUMMARY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B29" s="40" t="inlineStr">
        <is>
          <t>🟢 On target</t>
        </is>
      </c>
      <c r="D29" s="41">
        <f>COUNTIF(E6:E20,"*On target*")</f>
        <v/>
      </c>
    </row>
    <row r="30">
      <c r="B30" s="40" t="inlineStr">
        <is>
          <t>🟡 Watch</t>
        </is>
      </c>
      <c r="D30" s="41">
        <f>COUNTIF(E6:E20,"*Watch*")</f>
        <v/>
      </c>
    </row>
    <row r="31">
      <c r="B31" s="40" t="inlineStr">
        <is>
          <t>🔴 Action</t>
        </is>
      </c>
      <c r="D31" s="41">
        <f>COUNTIF(E6:E20,"*Action*")</f>
        <v/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 ht="22" customHeight="1">
      <c r="B46" s="10" t="inlineStr">
        <is>
          <t>ASSET-FORGE · LEANTA Turnkey Pack · Boutique Hotel · v1.0 · 04/06/2026 · Phase 5 of 6</t>
        </is>
      </c>
    </row>
  </sheetData>
  <mergeCells count="33">
    <mergeCell ref="B4:L4"/>
    <mergeCell ref="F20:K20"/>
    <mergeCell ref="E24:F24"/>
    <mergeCell ref="K24:L24"/>
    <mergeCell ref="F18:K18"/>
    <mergeCell ref="F17:K17"/>
    <mergeCell ref="E23:F23"/>
    <mergeCell ref="F8:K8"/>
    <mergeCell ref="B22:L22"/>
    <mergeCell ref="F13:K13"/>
    <mergeCell ref="B2:L2"/>
    <mergeCell ref="B23:C23"/>
    <mergeCell ref="F9:K9"/>
    <mergeCell ref="B1:L1"/>
    <mergeCell ref="E25:F26"/>
    <mergeCell ref="B46:K46"/>
    <mergeCell ref="K25:L26"/>
    <mergeCell ref="F14:K14"/>
    <mergeCell ref="B25:C26"/>
    <mergeCell ref="H25:I26"/>
    <mergeCell ref="B28:L28"/>
    <mergeCell ref="K23:L23"/>
    <mergeCell ref="F11:K11"/>
    <mergeCell ref="F19:K19"/>
    <mergeCell ref="B24:C24"/>
    <mergeCell ref="F10:K10"/>
    <mergeCell ref="F16:K16"/>
    <mergeCell ref="F6:K6"/>
    <mergeCell ref="H24:I24"/>
    <mergeCell ref="F7:K7"/>
    <mergeCell ref="H23:I23"/>
    <mergeCell ref="F12:K12"/>
    <mergeCell ref="F15:K15"/>
  </mergeCells>
  <conditionalFormatting sqref="E6:E20">
    <cfRule type="expression" priority="1" dxfId="0">
      <formula>ISNUMBER(SEARCH("On target",E6))</formula>
    </cfRule>
    <cfRule type="expression" priority="2" dxfId="1">
      <formula>ISNUMBER(SEARCH("Watch",E6))</formula>
    </cfRule>
    <cfRule type="expression" priority="3" dxfId="2">
      <formula>ISNUMBER(SEARCH("Action",E6))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11" t="inlineStr">
        <is>
          <t>DEMAND &amp; RATE</t>
        </is>
      </c>
      <c r="C4" s="12" t="n"/>
      <c r="D4" s="12" t="n"/>
      <c r="E4" s="12" t="n"/>
      <c r="F4" s="12" t="n"/>
    </row>
    <row r="5" ht="18" customHeight="1">
      <c r="B5" s="42" t="inlineStr">
        <is>
          <t>Rooms available</t>
        </is>
      </c>
      <c r="D5" s="43" t="n">
        <v>24</v>
      </c>
    </row>
    <row r="6" ht="18" customHeight="1">
      <c r="B6" s="42" t="inlineStr">
        <is>
          <t>ADR — average daily rate</t>
        </is>
      </c>
      <c r="D6" s="44" t="n">
        <v>135</v>
      </c>
      <c r="F6" s="45" t="inlineStr">
        <is>
          <t>4★ boutique IE €110–180</t>
        </is>
      </c>
    </row>
    <row r="7" ht="18" customHeight="1">
      <c r="B7" s="42" t="inlineStr">
        <is>
          <t>Occupancy</t>
        </is>
      </c>
      <c r="D7" s="46" t="n">
        <v>0.72</v>
      </c>
      <c r="F7" s="45" t="inlineStr">
        <is>
          <t>annualised; 65–80% typical</t>
        </is>
      </c>
    </row>
    <row r="8" ht="18" customHeight="1">
      <c r="B8" s="42" t="inlineStr">
        <is>
          <t>RevPAR (ADR × occupancy)</t>
        </is>
      </c>
      <c r="D8" s="47">
        <f>'Assumptions'!D6*'Assumptions'!D7</f>
        <v/>
      </c>
    </row>
    <row r="9" ht="18" customHeight="1">
      <c r="B9" s="42" t="inlineStr">
        <is>
          <t>F&amp;B + other revenue (% of rooms)</t>
        </is>
      </c>
      <c r="D9" s="46" t="n">
        <v>0.28</v>
      </c>
    </row>
    <row r="10" ht="18" customHeight="1">
      <c r="B10" s="42" t="inlineStr">
        <is>
          <t>Rooms revenue / yr</t>
        </is>
      </c>
      <c r="D10" s="48">
        <f>'Assumptions'!D5*365*'Assumptions'!D8</f>
        <v/>
      </c>
    </row>
    <row r="11" ht="18" customHeight="1">
      <c r="B11" s="42" t="inlineStr">
        <is>
          <t>Total revenue / yr</t>
        </is>
      </c>
      <c r="D11" s="48">
        <f>'Assumptions'!D10*(1+'Assumptions'!D9)</f>
        <v/>
      </c>
    </row>
    <row r="12"/>
    <row r="13" ht="24" customHeight="1">
      <c r="B13" s="11" t="inlineStr">
        <is>
          <t>COST RATIOS</t>
        </is>
      </c>
      <c r="C13" s="12" t="n"/>
      <c r="D13" s="12" t="n"/>
      <c r="E13" s="12" t="n"/>
      <c r="F13" s="12" t="n"/>
    </row>
    <row r="14" ht="18" customHeight="1">
      <c r="B14" s="42" t="inlineStr">
        <is>
          <t>Payroll (% of total revenue)</t>
        </is>
      </c>
      <c r="D14" s="46" t="n">
        <v>0.3</v>
      </c>
    </row>
    <row r="15" ht="18" customHeight="1">
      <c r="B15" s="42" t="inlineStr">
        <is>
          <t>F&amp;B cost (% of F&amp;B revenue)</t>
        </is>
      </c>
      <c r="D15" s="46" t="n">
        <v>0.3</v>
      </c>
    </row>
    <row r="16" ht="18" customHeight="1">
      <c r="B16" s="42" t="inlineStr">
        <is>
          <t>Rooms cost (% of rooms revenue)</t>
        </is>
      </c>
      <c r="D16" s="46" t="n">
        <v>0.1</v>
      </c>
    </row>
    <row r="17" ht="18" customHeight="1">
      <c r="B17" s="42" t="inlineStr">
        <is>
          <t>Utilities (% of total revenue)</t>
        </is>
      </c>
      <c r="D17" s="46" t="n">
        <v>0.05</v>
      </c>
    </row>
    <row r="18" ht="18" customHeight="1">
      <c r="B18" s="42" t="inlineStr">
        <is>
          <t>Sales &amp; marketing (% of revenue)</t>
        </is>
      </c>
      <c r="D18" s="46" t="n">
        <v>0.06</v>
      </c>
    </row>
    <row r="19" ht="18" customHeight="1">
      <c r="B19" s="42" t="inlineStr">
        <is>
          <t>Admin &amp; general (% of revenue)</t>
        </is>
      </c>
      <c r="D19" s="46" t="n">
        <v>0.05</v>
      </c>
    </row>
    <row r="20" ht="18" customHeight="1">
      <c r="B20" s="42" t="inlineStr">
        <is>
          <t>Property: rent/rates/insurance (%)</t>
        </is>
      </c>
      <c r="D20" s="46" t="n">
        <v>0.12</v>
      </c>
    </row>
    <row r="21"/>
    <row r="22" ht="24" customHeight="1">
      <c r="B22" s="11" t="inlineStr">
        <is>
          <t>CAPITAL EXPENDITURE (FIT-OUT LED — LEASED PROPERTY)</t>
        </is>
      </c>
      <c r="C22" s="12" t="n"/>
      <c r="D22" s="12" t="n"/>
      <c r="E22" s="12" t="n"/>
      <c r="F22" s="12" t="n"/>
    </row>
    <row r="23" ht="18" customHeight="1">
      <c r="B23" s="42" t="inlineStr">
        <is>
          <t>Lease deposit &amp; legal</t>
        </is>
      </c>
      <c r="D23" s="49" t="n">
        <v>45000</v>
      </c>
    </row>
    <row r="24" ht="18" customHeight="1">
      <c r="B24" s="42" t="inlineStr">
        <is>
          <t>Building refurbishment &amp; fit-out</t>
        </is>
      </c>
      <c r="D24" s="49" t="n">
        <v>240000</v>
      </c>
    </row>
    <row r="25" ht="18" customHeight="1">
      <c r="B25" s="42" t="inlineStr">
        <is>
          <t>FF&amp;E (rooms, beds, furniture)</t>
        </is>
      </c>
      <c r="D25" s="49" t="n">
        <v>120000</v>
      </c>
    </row>
    <row r="26" ht="18" customHeight="1">
      <c r="B26" s="42" t="inlineStr">
        <is>
          <t>Kitchen &amp; F&amp;B equipment</t>
        </is>
      </c>
      <c r="D26" s="49" t="n">
        <v>55000</v>
      </c>
    </row>
    <row r="27" ht="18" customHeight="1">
      <c r="B27" s="42" t="inlineStr">
        <is>
          <t>IT, PMS, POS &amp; networking</t>
        </is>
      </c>
      <c r="D27" s="49" t="n">
        <v>30000</v>
      </c>
    </row>
    <row r="28" ht="18" customHeight="1">
      <c r="B28" s="42" t="inlineStr">
        <is>
          <t>Branding, signage &amp; website</t>
        </is>
      </c>
      <c r="D28" s="49" t="n">
        <v>25000</v>
      </c>
    </row>
    <row r="29" ht="18" customHeight="1">
      <c r="B29" s="42" t="inlineStr">
        <is>
          <t>Pre-opening payroll &amp; training</t>
        </is>
      </c>
      <c r="D29" s="49" t="n">
        <v>35000</v>
      </c>
    </row>
    <row r="30" ht="18" customHeight="1">
      <c r="B30" s="42" t="inlineStr">
        <is>
          <t>Working capital buffer</t>
        </is>
      </c>
      <c r="D30" s="49" t="n">
        <v>50000</v>
      </c>
    </row>
    <row r="31">
      <c r="B31" s="50" t="inlineStr">
        <is>
          <t>Total capex required</t>
        </is>
      </c>
      <c r="D31" s="48">
        <f>SUM(D23:D30)</f>
        <v/>
      </c>
    </row>
    <row r="32"/>
    <row r="33" ht="24" customHeight="1">
      <c r="B33" s="11" t="inlineStr">
        <is>
          <t>FUNDING MIX</t>
        </is>
      </c>
      <c r="C33" s="12" t="n"/>
      <c r="D33" s="12" t="n"/>
      <c r="E33" s="12" t="n"/>
      <c r="F33" s="12" t="n"/>
    </row>
    <row r="34" ht="18" customHeight="1">
      <c r="B34" s="42" t="inlineStr">
        <is>
          <t>Founder equity (incl. SURE refund)</t>
        </is>
      </c>
      <c r="D34" s="49" t="n">
        <v>180000</v>
      </c>
      <c r="F34" s="51">
        <f>IF($D$34="","",D34/SUM($D$34:$D$37))</f>
        <v/>
      </c>
    </row>
    <row r="35" ht="18" customHeight="1">
      <c r="B35" s="42" t="inlineStr">
        <is>
          <t>LEO Priming grant</t>
        </is>
      </c>
      <c r="D35" s="49" t="n">
        <v>80000</v>
      </c>
      <c r="F35" s="51">
        <f>IF($D$35="","",D35/SUM($D$34:$D$37))</f>
        <v/>
      </c>
    </row>
    <row r="36" ht="18" customHeight="1">
      <c r="B36" s="42" t="inlineStr">
        <is>
          <t>Bank / SBCI term loan</t>
        </is>
      </c>
      <c r="D36" s="49" t="n">
        <v>300000</v>
      </c>
      <c r="F36" s="51">
        <f>IF($D$36="","",D36/SUM($D$34:$D$37))</f>
        <v/>
      </c>
    </row>
    <row r="37" ht="18" customHeight="1">
      <c r="B37" s="42" t="inlineStr">
        <is>
          <t>Microfinance Ireland loan</t>
        </is>
      </c>
      <c r="D37" s="49" t="n">
        <v>40000</v>
      </c>
      <c r="F37" s="51">
        <f>IF($D$37="","",D37/SUM($D$34:$D$37))</f>
        <v/>
      </c>
    </row>
    <row r="38">
      <c r="B38" s="50" t="inlineStr">
        <is>
          <t>Total funding raised</t>
        </is>
      </c>
      <c r="D38" s="48">
        <f>SUM(D34:D37)</f>
        <v/>
      </c>
    </row>
    <row r="39">
      <c r="B39" s="40" t="inlineStr">
        <is>
          <t>Funding vs capex (surplus/gap)</t>
        </is>
      </c>
      <c r="D39" s="48">
        <f>'Assumptions'!D38-'Assumptions'!D31</f>
        <v/>
      </c>
    </row>
    <row r="40"/>
    <row r="41" ht="24" customHeight="1">
      <c r="B41" s="11" t="inlineStr">
        <is>
          <t>SOURCES &amp; BENCHMARK NOTES</t>
        </is>
      </c>
      <c r="C41" s="12" t="n"/>
      <c r="D41" s="12" t="n"/>
      <c r="E41" s="12" t="n"/>
      <c r="F41" s="12" t="n"/>
    </row>
    <row r="42" ht="30" customHeight="1">
      <c r="B42" s="52" t="inlineStr">
        <is>
          <t xml:space="preserve">  ADR/occupancy/RevPAR: Fáilte Ireland Hotel Survey 2024 — 4★ ADR €143.50–€144.49, occupancy 60.2% (Dec) → 74.1% (Nov), RevPAR €86.42–€107.07.</t>
        </is>
      </c>
    </row>
    <row r="43" ht="30" customHeight="1">
      <c r="B43" s="52" t="inlineStr">
        <is>
          <t xml:space="preserve">  Cost ratios: hospitality labour 25–35% of revenue (US long-run 31.2%); USALI F&amp;B cost-of-sales; GOP margin ~36–38% (HotelData 2025). See `startup_benchmarks` table.</t>
        </is>
      </c>
    </row>
    <row r="44" ht="30" customHeight="1">
      <c r="B44" s="52" t="inlineStr">
        <is>
          <t xml:space="preserve">  Grant/funding figures: Local Enterprise Office (localenterprise.ie), Microfinance Ireland, SBCI, Fáilte Ireland investment schemes.</t>
        </is>
      </c>
    </row>
    <row r="45" ht="30" customHeight="1">
      <c r="B45" s="52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10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2">
      <formula>0</formula>
    </cfRule>
    <cfRule type="cellIs" priority="2" operator="greaterThanOr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Boutique Hotel · Operations</dc:title>
  <dcterms:created xsi:type="dcterms:W3CDTF">2026-06-04T13:30:31Z</dcterms:created>
  <dcterms:modified xsi:type="dcterms:W3CDTF">2026-06-04T13:30:31Z</dcterms:modified>
</cp:coreProperties>
</file>