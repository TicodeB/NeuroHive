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al &amp; Funding" sheetId="1" state="visible" r:id="rId1"/>
    <sheet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0.0%"/>
    <numFmt numFmtId="166" formatCode="#,##0\ &quot;€&quot;"/>
  </numFmts>
  <fonts count="14">
    <font>
      <name val="Calibri"/>
      <family val="2"/>
      <color theme="1"/>
      <sz val="11"/>
      <scheme val="minor"/>
    </font>
    <font>
      <name val="Calibri Light"/>
      <b val="1"/>
      <color rgb="001A2B45"/>
      <sz val="22"/>
    </font>
    <font>
      <name val="Calibri"/>
      <color rgb="006B7280"/>
      <sz val="11"/>
    </font>
    <font>
      <name val="Calibri"/>
      <b val="1"/>
      <color rgb="002D6CDF"/>
      <sz val="10.5"/>
    </font>
    <font>
      <name val="Calibri"/>
      <color rgb="001A2B45"/>
      <sz val="10"/>
    </font>
    <font>
      <name val="Calibri"/>
      <i val="1"/>
      <color rgb="006B7280"/>
      <sz val="8.5"/>
    </font>
    <font>
      <name val="Calibri"/>
      <b val="1"/>
      <color rgb="001A2B45"/>
      <sz val="9.5"/>
    </font>
    <font>
      <name val="Calibri"/>
      <b val="1"/>
      <color rgb="002D6CDF"/>
      <sz val="10"/>
    </font>
    <font>
      <name val="Calibri"/>
      <color rgb="001A2B45"/>
      <sz val="9.5"/>
    </font>
    <font>
      <name val="Calibri"/>
      <b val="1"/>
      <color rgb="001A2B45"/>
      <sz val="10"/>
    </font>
    <font>
      <name val="Calibri"/>
      <i val="1"/>
      <color rgb="001A2B45"/>
      <sz val="9.5"/>
    </font>
    <font>
      <name val="Calibri"/>
      <i val="1"/>
      <color rgb="009AA3B0"/>
      <sz val="8"/>
    </font>
    <font>
      <name val="Calibri"/>
      <b val="1"/>
      <color rgb="00FFFFFF"/>
      <sz val="10"/>
    </font>
    <font>
      <name val="Calibri"/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15A38C"/>
      </patternFill>
    </fill>
    <fill>
      <patternFill patternType="solid">
        <fgColor rgb="00FFF7E6"/>
      </patternFill>
    </fill>
    <fill>
      <patternFill patternType="solid">
        <fgColor rgb="00E9F0FA"/>
      </patternFill>
    </fill>
    <fill>
      <patternFill patternType="solid">
        <fgColor rgb="002D6CDF"/>
      </patternFill>
    </fill>
  </fills>
  <borders count="5">
    <border>
      <left/>
      <right/>
      <top/>
      <bottom/>
      <diagonal/>
    </border>
    <border>
      <bottom style="thin">
        <color rgb="002D6CDF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DCE3ED"/>
      </bottom>
    </border>
    <border>
      <bottom style="thin">
        <color rgb="0015A38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9" fillId="0" borderId="0" applyAlignment="1" pivotButton="0" quotePrefix="0" xfId="0">
      <alignment horizontal="left" vertical="center"/>
    </xf>
    <xf numFmtId="166" fontId="6" fillId="4" borderId="3" pivotButton="0" quotePrefix="0" xfId="0"/>
    <xf numFmtId="0" fontId="4" fillId="0" borderId="0" applyAlignment="1" pivotButton="0" quotePrefix="0" xfId="0">
      <alignment horizontal="left" vertical="center"/>
    </xf>
    <xf numFmtId="166" fontId="0" fillId="3" borderId="2" pivotButton="0" quotePrefix="0" xfId="0"/>
    <xf numFmtId="165" fontId="0" fillId="3" borderId="2" pivotButton="0" quotePrefix="0" xfId="0"/>
    <xf numFmtId="1" fontId="0" fillId="3" borderId="2" pivotButton="0" quotePrefix="0" xfId="0"/>
    <xf numFmtId="0" fontId="7" fillId="0" borderId="0" applyAlignment="1" pivotButton="0" quotePrefix="0" xfId="0">
      <alignment horizontal="left" vertical="center"/>
    </xf>
    <xf numFmtId="164" fontId="6" fillId="4" borderId="3" pivotButton="0" quotePrefix="0" xfId="0"/>
    <xf numFmtId="166" fontId="8" fillId="4" borderId="3" pivotButton="0" quotePrefix="0" xfId="0"/>
    <xf numFmtId="0" fontId="10" fillId="4" borderId="0" applyAlignment="1" pivotButton="0" quotePrefix="0" xfId="0">
      <alignment horizontal="left" vertical="center" wrapText="1" indent="1"/>
    </xf>
    <xf numFmtId="0" fontId="12" fillId="5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2" fontId="0" fillId="3" borderId="2" pivotButton="0" quotePrefix="0" xfId="0"/>
    <xf numFmtId="0" fontId="8" fillId="0" borderId="3" applyAlignment="1" pivotButton="0" quotePrefix="0" xfId="0">
      <alignment horizontal="left" vertical="center" indent="1"/>
    </xf>
    <xf numFmtId="0" fontId="6" fillId="0" borderId="3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6" fillId="4" borderId="3" pivotButton="0" quotePrefix="0" xfId="0"/>
    <xf numFmtId="2" fontId="6" fillId="4" borderId="3" pivotButton="0" quotePrefix="0" xfId="0"/>
    <xf numFmtId="0" fontId="11" fillId="0" borderId="0" applyAlignment="1" pivotButton="0" quotePrefix="0" xfId="0">
      <alignment horizontal="left" vertical="center"/>
    </xf>
    <xf numFmtId="164" fontId="0" fillId="3" borderId="2" pivotButton="0" quotePrefix="0" xfId="0"/>
    <xf numFmtId="0" fontId="5" fillId="0" borderId="0" applyAlignment="1" pivotButton="0" quotePrefix="0" xfId="0">
      <alignment horizontal="left" vertical="center"/>
    </xf>
    <xf numFmtId="165" fontId="8" fillId="4" borderId="3" pivotButton="0" quotePrefix="0" xfId="0"/>
  </cellXfs>
  <cellStyles count="1">
    <cellStyle name="Normal" xfId="0" builtinId="0" hidden="0"/>
  </cellStyles>
  <dxfs count="3"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  <dxf>
      <font>
        <name val="Calibri"/>
        <color rgb="00B26B00"/>
        <sz val="9.5"/>
      </font>
      <fill>
        <patternFill patternType="solid">
          <fgColor rgb="00FBEF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6CDF"/>
    <outlinePr summaryBelow="1" summaryRight="1"/>
    <pageSetUpPr/>
  </sheetPr>
  <dimension ref="A1:O33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30.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8" customHeight="1">
      <c r="B1" s="1" t="inlineStr">
        <is>
          <t>Capital Raising</t>
        </is>
      </c>
    </row>
    <row r="2" ht="20" customHeight="1">
      <c r="B2" s="2" t="inlineStr">
        <is>
          <t>Phase 2 · Capex, funding mix, debt service &amp; 12-month cash-flow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 ht="24" customHeight="1">
      <c r="B4" s="4" t="inlineStr">
        <is>
          <t>USES VS SOURCES</t>
        </is>
      </c>
      <c r="C4" s="5" t="n"/>
      <c r="D4" s="5" t="n"/>
      <c r="E4" s="5" t="n"/>
      <c r="F4" s="5" t="n"/>
      <c r="G4" s="5" t="n"/>
    </row>
    <row r="5" ht="19" customHeight="1">
      <c r="B5" s="6" t="inlineStr">
        <is>
          <t>Total capex (uses)</t>
        </is>
      </c>
      <c r="D5" s="7">
        <f>'Assumptions'!D31</f>
        <v/>
      </c>
    </row>
    <row r="6" ht="19" customHeight="1">
      <c r="B6" s="6" t="inlineStr">
        <is>
          <t>Total funding (sources)</t>
        </is>
      </c>
      <c r="D6" s="7">
        <f>'Assumptions'!D38</f>
        <v/>
      </c>
    </row>
    <row r="7">
      <c r="B7" s="6" t="inlineStr">
        <is>
          <t>Surplus / (gap)</t>
        </is>
      </c>
      <c r="D7" s="7">
        <f>'Assumptions'!D38-'Assumptions'!D31</f>
        <v/>
      </c>
    </row>
    <row r="8"/>
    <row r="9" ht="24" customHeight="1">
      <c r="B9" s="4" t="inlineStr">
        <is>
          <t>DEBT SERVICE (TERM LOAN)</t>
        </is>
      </c>
      <c r="C9" s="5" t="n"/>
      <c r="D9" s="5" t="n"/>
      <c r="E9" s="5" t="n"/>
      <c r="F9" s="5" t="n"/>
      <c r="G9" s="5" t="n"/>
    </row>
    <row r="10" ht="19" customHeight="1">
      <c r="B10" s="8" t="inlineStr">
        <is>
          <t>Loan principal €</t>
        </is>
      </c>
      <c r="D10" s="9" t="n">
        <v>300000</v>
      </c>
    </row>
    <row r="11" ht="19" customHeight="1">
      <c r="B11" s="8" t="inlineStr">
        <is>
          <t>Interest rate (APR)</t>
        </is>
      </c>
      <c r="D11" s="10" t="n">
        <v>0.075</v>
      </c>
    </row>
    <row r="12" ht="19" customHeight="1">
      <c r="B12" s="8" t="inlineStr">
        <is>
          <t>Term (years)</t>
        </is>
      </c>
      <c r="D12" s="11" t="n">
        <v>7</v>
      </c>
    </row>
    <row r="13">
      <c r="B13" s="12" t="inlineStr">
        <is>
          <t>Monthly repayment €</t>
        </is>
      </c>
      <c r="D13" s="13">
        <f>IFERROR(-PMT(D11/12,D12*12,D10),0)</f>
        <v/>
      </c>
    </row>
    <row r="14">
      <c r="B14" s="8" t="inlineStr">
        <is>
          <t>Annual debt service €</t>
        </is>
      </c>
      <c r="D14" s="14">
        <f>D13*12</f>
        <v/>
      </c>
    </row>
    <row r="15"/>
    <row r="16" ht="24" customHeight="1">
      <c r="B16" s="4" t="inlineStr">
        <is>
          <t>12-MONTH OPENING CASH-FLOW (WITH OCCUPANCY RAMP)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 ht="30" customHeight="1">
      <c r="B17" s="15" t="inlineStr">
        <is>
          <t xml:space="preserve">  Revenue ramps from a soft-open fraction up to steady state. Costs scale with revenue; debt service is constant. Closing cash carries forward.</t>
        </is>
      </c>
    </row>
    <row r="18" ht="30" customHeight="1">
      <c r="B18" s="16" t="inlineStr">
        <is>
          <t>Line (€)</t>
        </is>
      </c>
      <c r="C18" s="16" t="inlineStr">
        <is>
          <t>M1</t>
        </is>
      </c>
      <c r="D18" s="16" t="inlineStr">
        <is>
          <t>M2</t>
        </is>
      </c>
      <c r="E18" s="16" t="inlineStr">
        <is>
          <t>M3</t>
        </is>
      </c>
      <c r="F18" s="16" t="inlineStr">
        <is>
          <t>M4</t>
        </is>
      </c>
      <c r="G18" s="16" t="inlineStr">
        <is>
          <t>M5</t>
        </is>
      </c>
      <c r="H18" s="16" t="inlineStr">
        <is>
          <t>M6</t>
        </is>
      </c>
      <c r="I18" s="16" t="inlineStr">
        <is>
          <t>M7</t>
        </is>
      </c>
      <c r="J18" s="16" t="inlineStr">
        <is>
          <t>M8</t>
        </is>
      </c>
      <c r="K18" s="16" t="inlineStr">
        <is>
          <t>M9</t>
        </is>
      </c>
      <c r="L18" s="16" t="inlineStr">
        <is>
          <t>M10</t>
        </is>
      </c>
      <c r="M18" s="16" t="inlineStr">
        <is>
          <t>M11</t>
        </is>
      </c>
      <c r="N18" s="16" t="inlineStr">
        <is>
          <t>M12</t>
        </is>
      </c>
      <c r="O18" s="16" t="inlineStr">
        <is>
          <t>Year</t>
        </is>
      </c>
    </row>
    <row r="19">
      <c r="B19" s="17" t="inlineStr">
        <is>
          <t>Occupancy ramp ×</t>
        </is>
      </c>
      <c r="C19" s="18" t="n">
        <v>0.45</v>
      </c>
      <c r="D19" s="18" t="n">
        <v>0.55</v>
      </c>
      <c r="E19" s="18" t="n">
        <v>0.62</v>
      </c>
      <c r="F19" s="18" t="n">
        <v>0.68</v>
      </c>
      <c r="G19" s="18" t="n">
        <v>0.74</v>
      </c>
      <c r="H19" s="18" t="n">
        <v>0.8</v>
      </c>
      <c r="I19" s="18" t="n">
        <v>0.85</v>
      </c>
      <c r="J19" s="18" t="n">
        <v>0.88</v>
      </c>
      <c r="K19" s="18" t="n">
        <v>0.85</v>
      </c>
      <c r="L19" s="18" t="n">
        <v>0.8</v>
      </c>
      <c r="M19" s="18" t="n">
        <v>0.74</v>
      </c>
      <c r="N19" s="18" t="n">
        <v>0.7</v>
      </c>
    </row>
    <row r="20" ht="15" customHeight="1">
      <c r="B20" s="19" t="inlineStr">
        <is>
          <t>Revenue</t>
        </is>
      </c>
      <c r="C20" s="14">
        <f>('Assumptions'!D11/12)*(C19/'Assumptions'!D7)</f>
        <v/>
      </c>
      <c r="D20" s="14">
        <f>('Assumptions'!D11/12)*(D19/'Assumptions'!D7)</f>
        <v/>
      </c>
      <c r="E20" s="14">
        <f>('Assumptions'!D11/12)*(E19/'Assumptions'!D7)</f>
        <v/>
      </c>
      <c r="F20" s="14">
        <f>('Assumptions'!D11/12)*(F19/'Assumptions'!D7)</f>
        <v/>
      </c>
      <c r="G20" s="14">
        <f>('Assumptions'!D11/12)*(G19/'Assumptions'!D7)</f>
        <v/>
      </c>
      <c r="H20" s="14">
        <f>('Assumptions'!D11/12)*(H19/'Assumptions'!D7)</f>
        <v/>
      </c>
      <c r="I20" s="14">
        <f>('Assumptions'!D11/12)*(I19/'Assumptions'!D7)</f>
        <v/>
      </c>
      <c r="J20" s="14">
        <f>('Assumptions'!D11/12)*(J19/'Assumptions'!D7)</f>
        <v/>
      </c>
      <c r="K20" s="14">
        <f>('Assumptions'!D11/12)*(K19/'Assumptions'!D7)</f>
        <v/>
      </c>
      <c r="L20" s="14">
        <f>('Assumptions'!D11/12)*(L19/'Assumptions'!D7)</f>
        <v/>
      </c>
      <c r="M20" s="14">
        <f>('Assumptions'!D11/12)*(M19/'Assumptions'!D7)</f>
        <v/>
      </c>
      <c r="N20" s="14">
        <f>('Assumptions'!D11/12)*(N19/'Assumptions'!D7)</f>
        <v/>
      </c>
      <c r="O20" s="7">
        <f>SUM(C20:N20)</f>
        <v/>
      </c>
    </row>
    <row r="21" ht="15" customHeight="1">
      <c r="B21" s="19" t="inlineStr">
        <is>
          <t>Payroll</t>
        </is>
      </c>
      <c r="C21" s="14">
        <f>C20*'Assumptions'!D14</f>
        <v/>
      </c>
      <c r="D21" s="14">
        <f>D20*'Assumptions'!D14</f>
        <v/>
      </c>
      <c r="E21" s="14">
        <f>E20*'Assumptions'!D14</f>
        <v/>
      </c>
      <c r="F21" s="14">
        <f>F20*'Assumptions'!D14</f>
        <v/>
      </c>
      <c r="G21" s="14">
        <f>G20*'Assumptions'!D14</f>
        <v/>
      </c>
      <c r="H21" s="14">
        <f>H20*'Assumptions'!D14</f>
        <v/>
      </c>
      <c r="I21" s="14">
        <f>I20*'Assumptions'!D14</f>
        <v/>
      </c>
      <c r="J21" s="14">
        <f>J20*'Assumptions'!D14</f>
        <v/>
      </c>
      <c r="K21" s="14">
        <f>K20*'Assumptions'!D14</f>
        <v/>
      </c>
      <c r="L21" s="14">
        <f>L20*'Assumptions'!D14</f>
        <v/>
      </c>
      <c r="M21" s="14">
        <f>M20*'Assumptions'!D14</f>
        <v/>
      </c>
      <c r="N21" s="14">
        <f>N20*'Assumptions'!D14</f>
        <v/>
      </c>
      <c r="O21" s="7">
        <f>SUM(C21:N21)</f>
        <v/>
      </c>
    </row>
    <row r="22" ht="15" customHeight="1">
      <c r="B22" s="19" t="inlineStr">
        <is>
          <t>Other operating costs</t>
        </is>
      </c>
      <c r="C22" s="14">
        <f>C20*('Assumptions'!D15*'Assumptions'!D9+'Assumptions'!D16+'Assumptions'!D17+'Assumptions'!D18+'Assumptions'!D19+'Assumptions'!D20)</f>
        <v/>
      </c>
      <c r="D22" s="14">
        <f>D20*('Assumptions'!D15*'Assumptions'!D9+'Assumptions'!D16+'Assumptions'!D17+'Assumptions'!D18+'Assumptions'!D19+'Assumptions'!D20)</f>
        <v/>
      </c>
      <c r="E22" s="14">
        <f>E20*('Assumptions'!D15*'Assumptions'!D9+'Assumptions'!D16+'Assumptions'!D17+'Assumptions'!D18+'Assumptions'!D19+'Assumptions'!D20)</f>
        <v/>
      </c>
      <c r="F22" s="14">
        <f>F20*('Assumptions'!D15*'Assumptions'!D9+'Assumptions'!D16+'Assumptions'!D17+'Assumptions'!D18+'Assumptions'!D19+'Assumptions'!D20)</f>
        <v/>
      </c>
      <c r="G22" s="14">
        <f>G20*('Assumptions'!D15*'Assumptions'!D9+'Assumptions'!D16+'Assumptions'!D17+'Assumptions'!D18+'Assumptions'!D19+'Assumptions'!D20)</f>
        <v/>
      </c>
      <c r="H22" s="14">
        <f>H20*('Assumptions'!D15*'Assumptions'!D9+'Assumptions'!D16+'Assumptions'!D17+'Assumptions'!D18+'Assumptions'!D19+'Assumptions'!D20)</f>
        <v/>
      </c>
      <c r="I22" s="14">
        <f>I20*('Assumptions'!D15*'Assumptions'!D9+'Assumptions'!D16+'Assumptions'!D17+'Assumptions'!D18+'Assumptions'!D19+'Assumptions'!D20)</f>
        <v/>
      </c>
      <c r="J22" s="14">
        <f>J20*('Assumptions'!D15*'Assumptions'!D9+'Assumptions'!D16+'Assumptions'!D17+'Assumptions'!D18+'Assumptions'!D19+'Assumptions'!D20)</f>
        <v/>
      </c>
      <c r="K22" s="14">
        <f>K20*('Assumptions'!D15*'Assumptions'!D9+'Assumptions'!D16+'Assumptions'!D17+'Assumptions'!D18+'Assumptions'!D19+'Assumptions'!D20)</f>
        <v/>
      </c>
      <c r="L22" s="14">
        <f>L20*('Assumptions'!D15*'Assumptions'!D9+'Assumptions'!D16+'Assumptions'!D17+'Assumptions'!D18+'Assumptions'!D19+'Assumptions'!D20)</f>
        <v/>
      </c>
      <c r="M22" s="14">
        <f>M20*('Assumptions'!D15*'Assumptions'!D9+'Assumptions'!D16+'Assumptions'!D17+'Assumptions'!D18+'Assumptions'!D19+'Assumptions'!D20)</f>
        <v/>
      </c>
      <c r="N22" s="14">
        <f>N20*('Assumptions'!D15*'Assumptions'!D9+'Assumptions'!D16+'Assumptions'!D17+'Assumptions'!D18+'Assumptions'!D19+'Assumptions'!D20)</f>
        <v/>
      </c>
      <c r="O22" s="7">
        <f>SUM(C22:N22)</f>
        <v/>
      </c>
    </row>
    <row r="23" ht="15" customHeight="1">
      <c r="B23" s="19" t="inlineStr">
        <is>
          <t>Debt service</t>
        </is>
      </c>
      <c r="C23" s="14">
        <f>D13</f>
        <v/>
      </c>
      <c r="D23" s="14">
        <f>D13</f>
        <v/>
      </c>
      <c r="E23" s="14">
        <f>D13</f>
        <v/>
      </c>
      <c r="F23" s="14">
        <f>D13</f>
        <v/>
      </c>
      <c r="G23" s="14">
        <f>D13</f>
        <v/>
      </c>
      <c r="H23" s="14">
        <f>D13</f>
        <v/>
      </c>
      <c r="I23" s="14">
        <f>D13</f>
        <v/>
      </c>
      <c r="J23" s="14">
        <f>D13</f>
        <v/>
      </c>
      <c r="K23" s="14">
        <f>D13</f>
        <v/>
      </c>
      <c r="L23" s="14">
        <f>D13</f>
        <v/>
      </c>
      <c r="M23" s="14">
        <f>D13</f>
        <v/>
      </c>
      <c r="N23" s="14">
        <f>D13</f>
        <v/>
      </c>
      <c r="O23" s="7">
        <f>SUM(C23:N23)</f>
        <v/>
      </c>
    </row>
    <row r="24" ht="15" customHeight="1">
      <c r="B24" s="20" t="inlineStr">
        <is>
          <t>Net cash flow</t>
        </is>
      </c>
      <c r="C24" s="7">
        <f>C20-C21-C22-C23</f>
        <v/>
      </c>
      <c r="D24" s="7">
        <f>D20-D21-D22-D23</f>
        <v/>
      </c>
      <c r="E24" s="7">
        <f>E20-E21-E22-E23</f>
        <v/>
      </c>
      <c r="F24" s="7">
        <f>F20-F21-F22-F23</f>
        <v/>
      </c>
      <c r="G24" s="7">
        <f>G20-G21-G22-G23</f>
        <v/>
      </c>
      <c r="H24" s="7">
        <f>H20-H21-H22-H23</f>
        <v/>
      </c>
      <c r="I24" s="7">
        <f>I20-I21-I22-I23</f>
        <v/>
      </c>
      <c r="J24" s="7">
        <f>J20-J21-J22-J23</f>
        <v/>
      </c>
      <c r="K24" s="7">
        <f>K20-K21-K22-K23</f>
        <v/>
      </c>
      <c r="L24" s="7">
        <f>L20-L21-L22-L23</f>
        <v/>
      </c>
      <c r="M24" s="7">
        <f>M20-M21-M22-M23</f>
        <v/>
      </c>
      <c r="N24" s="7">
        <f>N20-N21-N22-N23</f>
        <v/>
      </c>
      <c r="O24" s="7">
        <f>SUM(C24:N24)</f>
        <v/>
      </c>
    </row>
    <row r="25">
      <c r="B25" s="21" t="inlineStr">
        <is>
          <t>Opening cash</t>
        </is>
      </c>
      <c r="C25" s="14">
        <f>'Assumptions'!D38-'Assumptions'!D31</f>
        <v/>
      </c>
      <c r="D25" s="14">
        <f>C26</f>
        <v/>
      </c>
      <c r="E25" s="14">
        <f>D26</f>
        <v/>
      </c>
      <c r="F25" s="14">
        <f>E26</f>
        <v/>
      </c>
      <c r="G25" s="14">
        <f>F26</f>
        <v/>
      </c>
      <c r="H25" s="14">
        <f>G26</f>
        <v/>
      </c>
      <c r="I25" s="14">
        <f>H26</f>
        <v/>
      </c>
      <c r="J25" s="14">
        <f>I26</f>
        <v/>
      </c>
      <c r="K25" s="14">
        <f>J26</f>
        <v/>
      </c>
      <c r="L25" s="14">
        <f>K26</f>
        <v/>
      </c>
      <c r="M25" s="14">
        <f>L26</f>
        <v/>
      </c>
      <c r="N25" s="14">
        <f>M26</f>
        <v/>
      </c>
    </row>
    <row r="26">
      <c r="B26" s="22" t="inlineStr">
        <is>
          <t>Closing cash</t>
        </is>
      </c>
      <c r="C26" s="7">
        <f>C25+C24</f>
        <v/>
      </c>
      <c r="D26" s="7">
        <f>D25+D24</f>
        <v/>
      </c>
      <c r="E26" s="7">
        <f>E25+E24</f>
        <v/>
      </c>
      <c r="F26" s="7">
        <f>F25+F24</f>
        <v/>
      </c>
      <c r="G26" s="7">
        <f>G25+G24</f>
        <v/>
      </c>
      <c r="H26" s="7">
        <f>H25+H24</f>
        <v/>
      </c>
      <c r="I26" s="7">
        <f>I25+I24</f>
        <v/>
      </c>
      <c r="J26" s="7">
        <f>J25+J24</f>
        <v/>
      </c>
      <c r="K26" s="7">
        <f>K25+K24</f>
        <v/>
      </c>
      <c r="L26" s="7">
        <f>L25+L24</f>
        <v/>
      </c>
      <c r="M26" s="7">
        <f>M25+M24</f>
        <v/>
      </c>
      <c r="N26" s="7">
        <f>N25+N24</f>
        <v/>
      </c>
      <c r="O26" s="7">
        <f>N26</f>
        <v/>
      </c>
    </row>
    <row r="27"/>
    <row r="28" ht="24" customHeight="1">
      <c r="B28" s="4" t="inlineStr">
        <is>
          <t>RUNWAY &amp; COVER</t>
        </is>
      </c>
      <c r="C28" s="5" t="n"/>
      <c r="D28" s="5" t="n"/>
      <c r="E28" s="5" t="n"/>
      <c r="F28" s="5" t="n"/>
      <c r="G28" s="5" t="n"/>
    </row>
    <row r="29" ht="19" customHeight="1">
      <c r="B29" s="6" t="inlineStr">
        <is>
          <t>Lowest monthly closing cash €</t>
        </is>
      </c>
      <c r="D29" s="7">
        <f>MIN(C26:N26)</f>
        <v/>
      </c>
    </row>
    <row r="30" ht="19" customHeight="1">
      <c r="B30" s="6" t="inlineStr">
        <is>
          <t>Min cash buffer status</t>
        </is>
      </c>
      <c r="D30" s="23">
        <f>IF(MIN(C26:N26)&gt;=0,"🟢 Positive all year","🔴 Goes negative — raise more")</f>
        <v/>
      </c>
    </row>
    <row r="31">
      <c r="B31" s="6" t="inlineStr">
        <is>
          <t>DSCR (GOP ÷ debt service)</t>
        </is>
      </c>
      <c r="D31" s="24">
        <f>IFERROR((O20-O21-O22)/(O23),0)</f>
        <v/>
      </c>
    </row>
    <row r="32"/>
    <row r="33" ht="22" customHeight="1">
      <c r="B33" s="25" t="inlineStr">
        <is>
          <t>ASSET-FORGE · LEANTA Turnkey Pack · Boutique Hotel · v1.0 · 04/06/2026 · Phase 2 of 6</t>
        </is>
      </c>
    </row>
  </sheetData>
  <mergeCells count="15">
    <mergeCell ref="B17:O17"/>
    <mergeCell ref="D6:E6"/>
    <mergeCell ref="B1:O1"/>
    <mergeCell ref="B28:G28"/>
    <mergeCell ref="D10:E10"/>
    <mergeCell ref="D11:E11"/>
    <mergeCell ref="D29:E29"/>
    <mergeCell ref="B2:O2"/>
    <mergeCell ref="D5:E5"/>
    <mergeCell ref="B9:G9"/>
    <mergeCell ref="B16:O16"/>
    <mergeCell ref="D30:G30"/>
    <mergeCell ref="B4:G4"/>
    <mergeCell ref="B33:K33"/>
    <mergeCell ref="D12:E12"/>
  </mergeCells>
  <conditionalFormatting sqref="D7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C26:N26">
    <cfRule type="cellIs" priority="3" operator="lessThan" dxfId="0">
      <formula>0</formula>
    </cfRule>
  </conditionalFormatting>
  <conditionalFormatting sqref="D31">
    <cfRule type="cellIs" priority="4" operator="greaterThanOrEqual" dxfId="1">
      <formula>1.25</formula>
    </cfRule>
    <cfRule type="cellIs" priority="5" operator="lessThan" dxfId="2">
      <formula>1.25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2B45"/>
    <outlinePr summaryBelow="1" summaryRight="1"/>
    <pageSetUpPr/>
  </sheetPr>
  <dimension ref="A1:K4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35.4" customWidth="1" min="2" max="2"/>
    <col width="4" customWidth="1" min="3" max="3"/>
    <col width="18" customWidth="1" min="4" max="4"/>
    <col width="14" customWidth="1" min="5" max="5"/>
    <col width="26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Assumptions &amp; Inputs</t>
        </is>
      </c>
    </row>
    <row r="2" ht="20" customHeight="1">
      <c r="B2" s="2" t="inlineStr">
        <is>
          <t>Single source of truth — edit the orange cells; everything links here</t>
        </is>
      </c>
    </row>
    <row r="3" ht="3" customHeight="1">
      <c r="B3" s="3" t="n"/>
      <c r="C3" s="3" t="n"/>
      <c r="D3" s="3" t="n"/>
      <c r="E3" s="3" t="n"/>
      <c r="F3" s="3" t="n"/>
    </row>
    <row r="4" ht="24" customHeight="1">
      <c r="B4" s="4" t="inlineStr">
        <is>
          <t>DEMAND &amp; RATE</t>
        </is>
      </c>
      <c r="C4" s="5" t="n"/>
      <c r="D4" s="5" t="n"/>
      <c r="E4" s="5" t="n"/>
      <c r="F4" s="5" t="n"/>
    </row>
    <row r="5" ht="18" customHeight="1">
      <c r="B5" s="8" t="inlineStr">
        <is>
          <t>Rooms available</t>
        </is>
      </c>
      <c r="D5" s="11" t="n">
        <v>24</v>
      </c>
    </row>
    <row r="6" ht="18" customHeight="1">
      <c r="B6" s="8" t="inlineStr">
        <is>
          <t>ADR — average daily rate</t>
        </is>
      </c>
      <c r="D6" s="26" t="n">
        <v>135</v>
      </c>
      <c r="F6" s="27" t="inlineStr">
        <is>
          <t>4★ boutique IE €110–180</t>
        </is>
      </c>
    </row>
    <row r="7" ht="18" customHeight="1">
      <c r="B7" s="8" t="inlineStr">
        <is>
          <t>Occupancy</t>
        </is>
      </c>
      <c r="D7" s="10" t="n">
        <v>0.72</v>
      </c>
      <c r="F7" s="27" t="inlineStr">
        <is>
          <t>annualised; 65–80% typical</t>
        </is>
      </c>
    </row>
    <row r="8" ht="18" customHeight="1">
      <c r="B8" s="8" t="inlineStr">
        <is>
          <t>RevPAR (ADR × occupancy)</t>
        </is>
      </c>
      <c r="D8" s="13">
        <f>'Assumptions'!D6*'Assumptions'!D7</f>
        <v/>
      </c>
    </row>
    <row r="9" ht="18" customHeight="1">
      <c r="B9" s="8" t="inlineStr">
        <is>
          <t>F&amp;B + other revenue (% of rooms)</t>
        </is>
      </c>
      <c r="D9" s="10" t="n">
        <v>0.28</v>
      </c>
    </row>
    <row r="10" ht="18" customHeight="1">
      <c r="B10" s="8" t="inlineStr">
        <is>
          <t>Rooms revenue / yr</t>
        </is>
      </c>
      <c r="D10" s="7">
        <f>'Assumptions'!D5*365*'Assumptions'!D8</f>
        <v/>
      </c>
    </row>
    <row r="11" ht="18" customHeight="1">
      <c r="B11" s="8" t="inlineStr">
        <is>
          <t>Total revenue / yr</t>
        </is>
      </c>
      <c r="D11" s="7">
        <f>'Assumptions'!D10*(1+'Assumptions'!D9)</f>
        <v/>
      </c>
    </row>
    <row r="12"/>
    <row r="13" ht="24" customHeight="1">
      <c r="B13" s="4" t="inlineStr">
        <is>
          <t>COST RATIOS</t>
        </is>
      </c>
      <c r="C13" s="5" t="n"/>
      <c r="D13" s="5" t="n"/>
      <c r="E13" s="5" t="n"/>
      <c r="F13" s="5" t="n"/>
    </row>
    <row r="14" ht="18" customHeight="1">
      <c r="B14" s="8" t="inlineStr">
        <is>
          <t>Payroll (% of total revenue)</t>
        </is>
      </c>
      <c r="D14" s="10" t="n">
        <v>0.3</v>
      </c>
    </row>
    <row r="15" ht="18" customHeight="1">
      <c r="B15" s="8" t="inlineStr">
        <is>
          <t>F&amp;B cost (% of F&amp;B revenue)</t>
        </is>
      </c>
      <c r="D15" s="10" t="n">
        <v>0.3</v>
      </c>
    </row>
    <row r="16" ht="18" customHeight="1">
      <c r="B16" s="8" t="inlineStr">
        <is>
          <t>Rooms cost (% of rooms revenue)</t>
        </is>
      </c>
      <c r="D16" s="10" t="n">
        <v>0.1</v>
      </c>
    </row>
    <row r="17" ht="18" customHeight="1">
      <c r="B17" s="8" t="inlineStr">
        <is>
          <t>Utilities (% of total revenue)</t>
        </is>
      </c>
      <c r="D17" s="10" t="n">
        <v>0.05</v>
      </c>
    </row>
    <row r="18" ht="18" customHeight="1">
      <c r="B18" s="8" t="inlineStr">
        <is>
          <t>Sales &amp; marketing (% of revenue)</t>
        </is>
      </c>
      <c r="D18" s="10" t="n">
        <v>0.06</v>
      </c>
    </row>
    <row r="19" ht="18" customHeight="1">
      <c r="B19" s="8" t="inlineStr">
        <is>
          <t>Admin &amp; general (% of revenue)</t>
        </is>
      </c>
      <c r="D19" s="10" t="n">
        <v>0.05</v>
      </c>
    </row>
    <row r="20" ht="18" customHeight="1">
      <c r="B20" s="8" t="inlineStr">
        <is>
          <t>Property: rent/rates/insurance (%)</t>
        </is>
      </c>
      <c r="D20" s="10" t="n">
        <v>0.12</v>
      </c>
    </row>
    <row r="21"/>
    <row r="22" ht="24" customHeight="1">
      <c r="B22" s="4" t="inlineStr">
        <is>
          <t>CAPITAL EXPENDITURE (FIT-OUT LED — LEASED PROPERTY)</t>
        </is>
      </c>
      <c r="C22" s="5" t="n"/>
      <c r="D22" s="5" t="n"/>
      <c r="E22" s="5" t="n"/>
      <c r="F22" s="5" t="n"/>
    </row>
    <row r="23" ht="18" customHeight="1">
      <c r="B23" s="8" t="inlineStr">
        <is>
          <t>Lease deposit &amp; legal</t>
        </is>
      </c>
      <c r="D23" s="9" t="n">
        <v>45000</v>
      </c>
    </row>
    <row r="24" ht="18" customHeight="1">
      <c r="B24" s="8" t="inlineStr">
        <is>
          <t>Building refurbishment &amp; fit-out</t>
        </is>
      </c>
      <c r="D24" s="9" t="n">
        <v>240000</v>
      </c>
    </row>
    <row r="25" ht="18" customHeight="1">
      <c r="B25" s="8" t="inlineStr">
        <is>
          <t>FF&amp;E (rooms, beds, furniture)</t>
        </is>
      </c>
      <c r="D25" s="9" t="n">
        <v>120000</v>
      </c>
    </row>
    <row r="26" ht="18" customHeight="1">
      <c r="B26" s="8" t="inlineStr">
        <is>
          <t>Kitchen &amp; F&amp;B equipment</t>
        </is>
      </c>
      <c r="D26" s="9" t="n">
        <v>55000</v>
      </c>
    </row>
    <row r="27" ht="18" customHeight="1">
      <c r="B27" s="8" t="inlineStr">
        <is>
          <t>IT, PMS, POS &amp; networking</t>
        </is>
      </c>
      <c r="D27" s="9" t="n">
        <v>30000</v>
      </c>
    </row>
    <row r="28" ht="18" customHeight="1">
      <c r="B28" s="8" t="inlineStr">
        <is>
          <t>Branding, signage &amp; website</t>
        </is>
      </c>
      <c r="D28" s="9" t="n">
        <v>25000</v>
      </c>
    </row>
    <row r="29" ht="18" customHeight="1">
      <c r="B29" s="8" t="inlineStr">
        <is>
          <t>Pre-opening payroll &amp; training</t>
        </is>
      </c>
      <c r="D29" s="9" t="n">
        <v>35000</v>
      </c>
    </row>
    <row r="30" ht="18" customHeight="1">
      <c r="B30" s="8" t="inlineStr">
        <is>
          <t>Working capital buffer</t>
        </is>
      </c>
      <c r="D30" s="9" t="n">
        <v>50000</v>
      </c>
    </row>
    <row r="31">
      <c r="B31" s="12" t="inlineStr">
        <is>
          <t>Total capex required</t>
        </is>
      </c>
      <c r="D31" s="7">
        <f>SUM(D23:D30)</f>
        <v/>
      </c>
    </row>
    <row r="32"/>
    <row r="33" ht="24" customHeight="1">
      <c r="B33" s="4" t="inlineStr">
        <is>
          <t>FUNDING MIX</t>
        </is>
      </c>
      <c r="C33" s="5" t="n"/>
      <c r="D33" s="5" t="n"/>
      <c r="E33" s="5" t="n"/>
      <c r="F33" s="5" t="n"/>
    </row>
    <row r="34" ht="18" customHeight="1">
      <c r="B34" s="8" t="inlineStr">
        <is>
          <t>Founder equity (incl. SURE refund)</t>
        </is>
      </c>
      <c r="D34" s="9" t="n">
        <v>180000</v>
      </c>
      <c r="F34" s="28">
        <f>IF($D$34="","",D34/SUM($D$34:$D$37))</f>
        <v/>
      </c>
    </row>
    <row r="35" ht="18" customHeight="1">
      <c r="B35" s="8" t="inlineStr">
        <is>
          <t>LEO Priming grant</t>
        </is>
      </c>
      <c r="D35" s="9" t="n">
        <v>80000</v>
      </c>
      <c r="F35" s="28">
        <f>IF($D$35="","",D35/SUM($D$34:$D$37))</f>
        <v/>
      </c>
    </row>
    <row r="36" ht="18" customHeight="1">
      <c r="B36" s="8" t="inlineStr">
        <is>
          <t>Bank / SBCI term loan</t>
        </is>
      </c>
      <c r="D36" s="9" t="n">
        <v>300000</v>
      </c>
      <c r="F36" s="28">
        <f>IF($D$36="","",D36/SUM($D$34:$D$37))</f>
        <v/>
      </c>
    </row>
    <row r="37" ht="18" customHeight="1">
      <c r="B37" s="8" t="inlineStr">
        <is>
          <t>Microfinance Ireland loan</t>
        </is>
      </c>
      <c r="D37" s="9" t="n">
        <v>40000</v>
      </c>
      <c r="F37" s="28">
        <f>IF($D$37="","",D37/SUM($D$34:$D$37))</f>
        <v/>
      </c>
    </row>
    <row r="38">
      <c r="B38" s="12" t="inlineStr">
        <is>
          <t>Total funding raised</t>
        </is>
      </c>
      <c r="D38" s="7">
        <f>SUM(D34:D37)</f>
        <v/>
      </c>
    </row>
    <row r="39">
      <c r="B39" s="6" t="inlineStr">
        <is>
          <t>Funding vs capex (surplus/gap)</t>
        </is>
      </c>
      <c r="D39" s="7">
        <f>'Assumptions'!D38-'Assumptions'!D31</f>
        <v/>
      </c>
    </row>
    <row r="40"/>
    <row r="41" ht="24" customHeight="1">
      <c r="B41" s="4" t="inlineStr">
        <is>
          <t>SOURCES &amp; BENCHMARK NOTES</t>
        </is>
      </c>
      <c r="C41" s="5" t="n"/>
      <c r="D41" s="5" t="n"/>
      <c r="E41" s="5" t="n"/>
      <c r="F41" s="5" t="n"/>
    </row>
    <row r="42" ht="30" customHeight="1">
      <c r="B42" s="15" t="inlineStr">
        <is>
          <t xml:space="preserve">  ADR/occupancy/RevPAR benchmarks: Fáilte Ireland &amp; STR Ireland hotel performance reports (4-star/boutique ranges).</t>
        </is>
      </c>
    </row>
    <row r="43" ht="30" customHeight="1">
      <c r="B43" s="15" t="inlineStr">
        <is>
          <t xml:space="preserve">  Grant/funding figures: Local Enterprise Office (localenterprise.ie), Microfinance Ireland, SBCI, Fáilte Ireland investment schemes.</t>
        </is>
      </c>
    </row>
    <row r="44" ht="30" customHeight="1">
      <c r="B44" s="15" t="inlineStr">
        <is>
          <t xml:space="preserve">  Cost ratios (payroll ~30%, F&amp;B cost ~30%): USALI hotel P&amp;L conventions.</t>
        </is>
      </c>
    </row>
    <row r="45" ht="30" customHeight="1">
      <c r="B45" s="15" t="inlineStr">
        <is>
          <t xml:space="preserve">  Figures are seed assumptions — replace the orange cells with your own quotes and verified local data before relying on them.</t>
        </is>
      </c>
    </row>
    <row r="46"/>
    <row r="47" ht="22" customHeight="1">
      <c r="B47" s="25" t="inlineStr">
        <is>
          <t>ASSET-FORGE · LEANTA Turnkey Pack · Boutique Hotel · v1.0 · 04/06/2026</t>
        </is>
      </c>
    </row>
  </sheetData>
  <mergeCells count="12">
    <mergeCell ref="B4:F4"/>
    <mergeCell ref="B44:F44"/>
    <mergeCell ref="B43:F43"/>
    <mergeCell ref="B2:F2"/>
    <mergeCell ref="B33:F33"/>
    <mergeCell ref="B42:F42"/>
    <mergeCell ref="B45:F45"/>
    <mergeCell ref="B22:F22"/>
    <mergeCell ref="B1:F1"/>
    <mergeCell ref="B47:K47"/>
    <mergeCell ref="B41:F41"/>
    <mergeCell ref="B13:F13"/>
  </mergeCells>
  <conditionalFormatting sqref="D39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 · LEANTA</dc:creator>
  <dc:title>Boutique Hotel · Capital Raising</dc:title>
  <dcterms:created xsi:type="dcterms:W3CDTF">2026-06-04T13:10:55Z</dcterms:created>
  <dcterms:modified xsi:type="dcterms:W3CDTF">2026-06-04T13:10:55Z</dcterms:modified>
</cp:coreProperties>
</file>