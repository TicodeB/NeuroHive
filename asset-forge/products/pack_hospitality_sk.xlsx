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" sheetId="5" state="visible" r:id="rId5"/>
    <sheet name="05 · Zásoby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6B7280"/>
      <sz val="10"/>
    </font>
    <font>
      <name val="Calibri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1A2B45"/>
      <sz val="10"/>
    </font>
    <font>
      <name val="Calibri"/>
      <b val="1"/>
      <color rgb="002D6CDF"/>
      <sz val="11"/>
    </font>
    <font>
      <name val="Calibri"/>
      <b val="1"/>
      <color rgb="00FFFFFF"/>
      <sz val="10"/>
    </font>
    <font>
      <name val="Calibri"/>
      <color rgb="001A2B45"/>
      <sz val="9.5"/>
    </font>
    <font>
      <name val="Calibri"/>
      <b val="1"/>
      <color rgb="006B7280"/>
      <sz val="9.5"/>
    </font>
    <font>
      <name val="Calibri"/>
      <b val="1"/>
      <color rgb="002D6CDF"/>
      <sz val="9.5"/>
    </font>
    <font>
      <name val="Calibri"/>
      <b val="1"/>
      <color rgb="001A2B45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2D6CDF"/>
      <sz val="20"/>
    </font>
    <font>
      <name val="Calibri"/>
      <b val="1"/>
      <color rgb="0015A38C"/>
      <sz val="20"/>
    </font>
    <font>
      <name val="Calibri"/>
      <b val="1"/>
      <color rgb="001A2B45"/>
      <sz val="20"/>
    </font>
    <font>
      <name val="Calibri"/>
      <color rgb="001A2B45"/>
      <sz val="10.5"/>
    </font>
  </fonts>
  <fills count="10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2D6CDF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A2B45"/>
      </patternFill>
    </fill>
  </fills>
  <borders count="13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15A38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9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5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166" fontId="14" fillId="3" borderId="4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2B45"/>
    <outlinePr summaryBelow="1" summaryRight="1"/>
    <pageSetUpPr/>
  </sheetPr>
  <dimension ref="B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B1" s="1" t="inlineStr">
        <is>
          <t>Gastro / pohostinstvo</t>
        </is>
      </c>
    </row>
    <row r="2" ht="20" customHeight="1">
      <c r="B2" s="2" t="inlineStr">
        <is>
          <t>Balík, ktorý ukáže maržu, mzdy a hotovosť skôr, než zabolia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</t>
        </is>
      </c>
      <c r="C7" s="7" t="inlineStr">
        <is>
          <t>Náklady na porciu a hrubá marža</t>
        </is>
      </c>
    </row>
    <row r="8" ht="20" customHeight="1">
      <c r="B8" s="6" t="inlineStr">
        <is>
          <t xml:space="preserve">  Zásoby</t>
        </is>
      </c>
      <c r="C8" s="7" t="inlineStr">
        <is>
          <t>Spotreba a hodnota strát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otvorenie</t>
        </is>
      </c>
    </row>
    <row r="15" ht="22" customHeight="1">
      <c r="B15" s="8" t="inlineStr">
        <is>
          <t>•  POČAS DŇA: tržby + straty</t>
        </is>
      </c>
    </row>
    <row r="16" ht="22" customHeight="1">
      <c r="B16" s="8" t="inlineStr">
        <is>
          <t>•  VEČER: uzávierka pokladne</t>
        </is>
      </c>
    </row>
    <row r="17" ht="22" customHeight="1">
      <c r="B17" s="8" t="inlineStr">
        <is>
          <t>•  TÝŽDENNE: zmeny + marža</t>
        </is>
      </c>
    </row>
    <row r="18" ht="22" customHeight="1">
      <c r="B18" s="8" t="inlineStr">
        <is>
          <t>•  MESAČNE: cash flow + prehľad</t>
        </is>
      </c>
    </row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A38C"/>
    <outlinePr summaryBelow="1" summaryRight="1"/>
    <pageSetUpPr/>
  </sheetPr>
  <dimension ref="B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chladničiek</t>
        </is>
      </c>
      <c r="C33" s="21" t="n"/>
      <c r="D33" s="21" t="n"/>
      <c r="E33" s="18" t="n"/>
    </row>
    <row r="34" ht="19" customHeight="1">
      <c r="B34" s="22" t="inlineStr">
        <is>
          <t xml:space="preserve">  Otvorenie: hotovosť spočítaná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straty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prevádzka zabezpečená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6CDF"/>
    <outlinePr summaryBelow="1" summaryRight="1"/>
    <pageSetUpPr/>
  </sheetPr>
  <dimension ref="B1:L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</t>
        </is>
      </c>
      <c r="H6" s="29" t="n"/>
      <c r="J6" s="28" t="inlineStr">
        <is>
          <t>ČISTÝ ZISK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</t>
        </is>
      </c>
      <c r="H11" s="29" t="n"/>
      <c r="J11" s="28" t="inlineStr">
        <is>
          <t>PODIEL MIEZD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Marža'!H30,0)</f>
        <v/>
      </c>
      <c r="H12" s="29" t="n"/>
      <c r="J12" s="37">
        <f>IFERROR('06 · Zmeny'!I31,0)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5" ht="24" customHeight="1">
      <c r="B15" s="4" t="inlineStr">
        <is>
          <t>POSTREHY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4" customHeight="1">
      <c r="B16" s="38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24" customHeight="1">
      <c r="B17" s="39">
        <f>IFERROR("Podiel miezd: "&amp;TEXT('06 · Zmeny'!I31,"0.0%")&amp;IF('06 · Zmeny'!I31&gt;0.35," — NAD cieľom 35 %."," — v poriadku."),"Podiel miezd: zatiaľ bez dát.")</f>
        <v/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</row>
    <row r="18" ht="24" customHeight="1">
      <c r="B18" s="38">
        <f>IFERROR("Hodnota strát/odpisu: "&amp;TEXT('05 · Zásoby'!I27,"#,##0.00 €")&amp;".","Straty: zatiaľ bez dát.")</f>
        <v/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 ht="24" customHeight="1">
      <c r="B19" s="39">
        <f>IFERROR("Položky pod cieľovou maržou: "&amp;TEXT('04 · Marža'!H31,"0")&amp;".","Marža: zatiaľ bez dát.")</f>
        <v/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 ht="24" customHeight="1">
      <c r="B20" s="38">
        <f>IFERROR("Rozdiel v pokladni (rok): "&amp;TEXT('07 · Tržby'!H40,"#,##0.00 €")&amp;IF(ABS('07 · Tržby'!H40)&gt;1," — preverte."," — sedí."),"Pokladňa: zatiaľ bez dát.")</f>
        <v/>
      </c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2" ht="30" customHeight="1">
      <c r="B22" s="9" t="inlineStr">
        <is>
          <t xml:space="preserve">  Tieto čísla sa aktualizujú automaticky, keď vyplníte ostatné hárky.</t>
        </is>
      </c>
    </row>
  </sheetData>
  <mergeCells count="27">
    <mergeCell ref="B11:D11"/>
    <mergeCell ref="J6:L6"/>
    <mergeCell ref="F5:H5"/>
    <mergeCell ref="B16:L16"/>
    <mergeCell ref="B22:L22"/>
    <mergeCell ref="B7:D8"/>
    <mergeCell ref="B18:L18"/>
    <mergeCell ref="J11:L11"/>
    <mergeCell ref="B10:D10"/>
    <mergeCell ref="F7:H8"/>
    <mergeCell ref="B2:L2"/>
    <mergeCell ref="B12:D13"/>
    <mergeCell ref="F12:H13"/>
    <mergeCell ref="B6:D6"/>
    <mergeCell ref="B17:L17"/>
    <mergeCell ref="B1:L1"/>
    <mergeCell ref="B5:D5"/>
    <mergeCell ref="B19:L19"/>
    <mergeCell ref="F11:H11"/>
    <mergeCell ref="J5:L5"/>
    <mergeCell ref="F10:H10"/>
    <mergeCell ref="J7:L8"/>
    <mergeCell ref="F6:H6"/>
    <mergeCell ref="J10:L10"/>
    <mergeCell ref="B15:L15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J12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D6CDF"/>
    <outlinePr summaryBelow="1" summaryRight="1"/>
    <pageSetUpPr/>
  </sheetPr>
  <dimension ref="B1:O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z jedál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z nápojov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Ostatné príjmy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43" t="inlineStr">
        <is>
          <t>Tržby spolu</t>
        </is>
      </c>
      <c r="C13" s="44">
        <f>SUM(C10:C12)</f>
        <v/>
      </c>
      <c r="D13" s="44">
        <f>SUM(D10:D12)</f>
        <v/>
      </c>
      <c r="E13" s="44">
        <f>SUM(E10:E12)</f>
        <v/>
      </c>
      <c r="F13" s="44">
        <f>SUM(F10:F12)</f>
        <v/>
      </c>
      <c r="G13" s="44">
        <f>SUM(G10:G12)</f>
        <v/>
      </c>
      <c r="H13" s="44">
        <f>SUM(H10:H12)</f>
        <v/>
      </c>
      <c r="I13" s="44">
        <f>SUM(I10:I12)</f>
        <v/>
      </c>
      <c r="J13" s="44">
        <f>SUM(J10:J12)</f>
        <v/>
      </c>
      <c r="K13" s="44">
        <f>SUM(K10:K12)</f>
        <v/>
      </c>
      <c r="L13" s="44">
        <f>SUM(L10:L12)</f>
        <v/>
      </c>
      <c r="M13" s="44">
        <f>SUM(M10:M12)</f>
        <v/>
      </c>
      <c r="N13" s="44">
        <f>SUM(N10:N12)</f>
        <v/>
      </c>
      <c r="O13" s="42">
        <f>SUM(C13:N13)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Náklady na jedlo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</row>
    <row r="16" ht="16" customHeight="1">
      <c r="B16" s="20" t="inlineStr">
        <is>
          <t>Náklady na nápoje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43" t="inlineStr">
        <is>
          <t>Náklady spolu</t>
        </is>
      </c>
      <c r="C17" s="44">
        <f>SUM(C15:C16)</f>
        <v/>
      </c>
      <c r="D17" s="44">
        <f>SUM(D15:D16)</f>
        <v/>
      </c>
      <c r="E17" s="44">
        <f>SUM(E15:E16)</f>
        <v/>
      </c>
      <c r="F17" s="44">
        <f>SUM(F15:F16)</f>
        <v/>
      </c>
      <c r="G17" s="44">
        <f>SUM(G15:G16)</f>
        <v/>
      </c>
      <c r="H17" s="44">
        <f>SUM(H15:H16)</f>
        <v/>
      </c>
      <c r="I17" s="44">
        <f>SUM(I15:I16)</f>
        <v/>
      </c>
      <c r="J17" s="44">
        <f>SUM(J15:J16)</f>
        <v/>
      </c>
      <c r="K17" s="44">
        <f>SUM(K15:K16)</f>
        <v/>
      </c>
      <c r="L17" s="44">
        <f>SUM(L15:L16)</f>
        <v/>
      </c>
      <c r="M17" s="44">
        <f>SUM(M15:M16)</f>
        <v/>
      </c>
      <c r="N17" s="44">
        <f>SUM(N15:N16)</f>
        <v/>
      </c>
      <c r="O17" s="42">
        <f>SUM(C17:N17)</f>
        <v/>
      </c>
    </row>
    <row r="18" ht="16" customHeight="1">
      <c r="B18" s="43" t="inlineStr">
        <is>
          <t>HRUBÁ MARŽA</t>
        </is>
      </c>
      <c r="C18" s="44">
        <f>C13-C17</f>
        <v/>
      </c>
      <c r="D18" s="44">
        <f>D13-D17</f>
        <v/>
      </c>
      <c r="E18" s="44">
        <f>E13-E17</f>
        <v/>
      </c>
      <c r="F18" s="44">
        <f>F13-F17</f>
        <v/>
      </c>
      <c r="G18" s="44">
        <f>G13-G17</f>
        <v/>
      </c>
      <c r="H18" s="44">
        <f>H13-H17</f>
        <v/>
      </c>
      <c r="I18" s="44">
        <f>I13-I17</f>
        <v/>
      </c>
      <c r="J18" s="44">
        <f>J13-J17</f>
        <v/>
      </c>
      <c r="K18" s="44">
        <f>K13-K17</f>
        <v/>
      </c>
      <c r="L18" s="44">
        <f>L13-L17</f>
        <v/>
      </c>
      <c r="M18" s="44">
        <f>M13-M17</f>
        <v/>
      </c>
      <c r="N18" s="44">
        <f>N13-N17</f>
        <v/>
      </c>
      <c r="O18" s="42">
        <f>SUM(C18:N18)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</row>
    <row r="22" ht="16" customHeight="1">
      <c r="B22" s="20" t="inlineStr">
        <is>
          <t>Energie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43" t="inlineStr">
        <is>
          <t>Réžie spolu</t>
        </is>
      </c>
      <c r="C25" s="44">
        <f>SUM(C20:C24)</f>
        <v/>
      </c>
      <c r="D25" s="44">
        <f>SUM(D20:D24)</f>
        <v/>
      </c>
      <c r="E25" s="44">
        <f>SUM(E20:E24)</f>
        <v/>
      </c>
      <c r="F25" s="44">
        <f>SUM(F20:F24)</f>
        <v/>
      </c>
      <c r="G25" s="44">
        <f>SUM(G20:G24)</f>
        <v/>
      </c>
      <c r="H25" s="44">
        <f>SUM(H20:H24)</f>
        <v/>
      </c>
      <c r="I25" s="44">
        <f>SUM(I20:I24)</f>
        <v/>
      </c>
      <c r="J25" s="44">
        <f>SUM(J20:J24)</f>
        <v/>
      </c>
      <c r="K25" s="44">
        <f>SUM(K20:K24)</f>
        <v/>
      </c>
      <c r="L25" s="44">
        <f>SUM(L20:L24)</f>
        <v/>
      </c>
      <c r="M25" s="44">
        <f>SUM(M20:M24)</f>
        <v/>
      </c>
      <c r="N25" s="44">
        <f>SUM(N20:N24)</f>
        <v/>
      </c>
      <c r="O25" s="42">
        <f>SUM(C25:N25)</f>
        <v/>
      </c>
    </row>
    <row r="26" ht="16" customHeight="1">
      <c r="B26" s="43" t="inlineStr">
        <is>
          <t>ČISTÝ ZISK</t>
        </is>
      </c>
      <c r="C26" s="44">
        <f>C18-C25</f>
        <v/>
      </c>
      <c r="D26" s="44">
        <f>D18-D25</f>
        <v/>
      </c>
      <c r="E26" s="44">
        <f>E18-E25</f>
        <v/>
      </c>
      <c r="F26" s="44">
        <f>F18-F25</f>
        <v/>
      </c>
      <c r="G26" s="44">
        <f>G18-G25</f>
        <v/>
      </c>
      <c r="H26" s="44">
        <f>H18-H25</f>
        <v/>
      </c>
      <c r="I26" s="44">
        <f>I18-I25</f>
        <v/>
      </c>
      <c r="J26" s="44">
        <f>J18-J25</f>
        <v/>
      </c>
      <c r="K26" s="44">
        <f>K18-K25</f>
        <v/>
      </c>
      <c r="L26" s="44">
        <f>L18-L25</f>
        <v/>
      </c>
      <c r="M26" s="44">
        <f>M18-M25</f>
        <v/>
      </c>
      <c r="N26" s="44">
        <f>N18-N25</f>
        <v/>
      </c>
      <c r="O26" s="42">
        <f>SUM(C26:N26)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4">
        <f>C29</f>
        <v/>
      </c>
      <c r="E28" s="44">
        <f>D29</f>
        <v/>
      </c>
      <c r="F28" s="44">
        <f>E29</f>
        <v/>
      </c>
      <c r="G28" s="44">
        <f>F29</f>
        <v/>
      </c>
      <c r="H28" s="44">
        <f>G29</f>
        <v/>
      </c>
      <c r="I28" s="44">
        <f>H29</f>
        <v/>
      </c>
      <c r="J28" s="44">
        <f>I29</f>
        <v/>
      </c>
      <c r="K28" s="44">
        <f>J29</f>
        <v/>
      </c>
      <c r="L28" s="44">
        <f>K29</f>
        <v/>
      </c>
      <c r="M28" s="44">
        <f>L29</f>
        <v/>
      </c>
      <c r="N28" s="44">
        <f>M29</f>
        <v/>
      </c>
      <c r="O28" s="44">
        <f>C28</f>
        <v/>
      </c>
    </row>
    <row r="29">
      <c r="B29" s="43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9:O9"/>
    <mergeCell ref="B1:O1"/>
    <mergeCell ref="B27:O27"/>
    <mergeCell ref="C5:E5"/>
    <mergeCell ref="B2:O2"/>
    <mergeCell ref="B7:O7"/>
    <mergeCell ref="B19:O19"/>
    <mergeCell ref="B14:O14"/>
  </mergeCells>
  <conditionalFormatting sqref="C29:N2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5A38C"/>
    <outlinePr summaryBelow="1" summaryRight="1"/>
    <pageSetUpPr/>
  </sheetPr>
  <dimension ref="B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</t>
        </is>
      </c>
    </row>
    <row r="2" ht="20" customHeight="1">
      <c r="B2" s="2" t="inlineStr">
        <is>
          <t>Náklady na porciu a hrubá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Jedlo / nápoj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Kôš s domácim chlebom</t>
        </is>
      </c>
      <c r="C8" s="46" t="n"/>
      <c r="D8" s="47" t="n"/>
      <c r="E8" s="48" t="n"/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Rybacia polievka</t>
        </is>
      </c>
      <c r="C9" s="53" t="n"/>
      <c r="D9" s="47" t="n"/>
      <c r="E9" s="48" t="n"/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Hovädzí burger</t>
        </is>
      </c>
      <c r="C10" s="46" t="n"/>
      <c r="D10" s="47" t="n"/>
      <c r="E10" s="48" t="n"/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Cappuccino</t>
        </is>
      </c>
      <c r="C11" s="53" t="n"/>
      <c r="D11" s="47" t="n"/>
      <c r="E11" s="48" t="n"/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Čapované pivo</t>
        </is>
      </c>
      <c r="C12" s="46" t="n"/>
      <c r="D12" s="47" t="n"/>
      <c r="E12" s="48" t="n"/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n"/>
      <c r="C13" s="53" t="n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n"/>
      <c r="C14" s="46" t="n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n"/>
      <c r="C15" s="53" t="n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n"/>
      <c r="C16" s="46" t="n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n"/>
      <c r="C17" s="53" t="n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n"/>
      <c r="C18" s="46" t="n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n"/>
      <c r="C19" s="53" t="n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n"/>
      <c r="C20" s="46" t="n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n"/>
      <c r="C21" s="53" t="n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n"/>
      <c r="C22" s="46" t="n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n"/>
      <c r="C23" s="53" t="n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n"/>
      <c r="C24" s="46" t="n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n"/>
      <c r="C25" s="53" t="n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n"/>
      <c r="C26" s="46" t="n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n"/>
      <c r="C27" s="53" t="n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n"/>
      <c r="C28" s="46" t="n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n"/>
      <c r="C29" s="53" t="n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D6CDF"/>
    <outlinePr summaryBelow="1" summaryRight="1"/>
    <pageSetUpPr/>
  </sheetPr>
  <dimension ref="B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Zásoby</t>
        </is>
      </c>
    </row>
    <row r="2" ht="20" customHeight="1">
      <c r="B2" s="2" t="inlineStr">
        <is>
          <t>Spotreba a hodnota strát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Straty (množ.)</t>
        </is>
      </c>
      <c r="H8" s="15" t="inlineStr">
        <is>
          <t>Cena/jedn. €</t>
        </is>
      </c>
      <c r="I8" s="15" t="inlineStr">
        <is>
          <t>Hodnota — straty €</t>
        </is>
      </c>
    </row>
    <row r="9" ht="19" customHeight="1">
      <c r="B9" s="45" t="inlineStr">
        <is>
          <t>Čapované pivo</t>
        </is>
      </c>
      <c r="C9" s="46" t="n"/>
      <c r="D9" s="18" t="n"/>
      <c r="E9" s="18" t="n"/>
      <c r="F9" s="18" t="n"/>
      <c r="G9" s="18" t="n"/>
      <c r="H9" s="47" t="n"/>
      <c r="I9" s="49">
        <f>IF(OR(G9="",H9=""),"",G9*H9)</f>
        <v/>
      </c>
    </row>
    <row r="10" ht="19" customHeight="1">
      <c r="B10" s="52" t="inlineStr">
        <is>
          <t>Domáce červené víno</t>
        </is>
      </c>
      <c r="C10" s="53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45" t="inlineStr">
        <is>
          <t>Čerstvé ryby</t>
        </is>
      </c>
      <c r="C11" s="46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2" t="inlineStr">
        <is>
          <t>Rib-eye steak</t>
        </is>
      </c>
      <c r="C12" s="53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45" t="inlineStr">
        <is>
          <t>Mlieko</t>
        </is>
      </c>
      <c r="C13" s="46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2" t="n"/>
      <c r="C14" s="53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n"/>
      <c r="C15" s="46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n"/>
      <c r="C16" s="53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n"/>
      <c r="C17" s="46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n"/>
      <c r="C18" s="53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n"/>
      <c r="C19" s="46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n"/>
      <c r="C20" s="53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n"/>
      <c r="C21" s="46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n"/>
      <c r="C22" s="53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n"/>
      <c r="C23" s="46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n"/>
      <c r="C24" s="53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n"/>
      <c r="C25" s="46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n"/>
      <c r="C26" s="53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Straty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5A38C"/>
    <outlinePr summaryBelow="1" summaryRight="1"/>
    <pageSetUpPr/>
  </sheetPr>
  <dimension ref="B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~35 % tržieb.</t>
        </is>
      </c>
    </row>
    <row r="9" ht="30" customHeight="1">
      <c r="B9" s="15" t="inlineStr">
        <is>
          <t>Pozícia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6CDF"/>
    <outlinePr summaryBelow="1" summaryRight="1"/>
    <pageSetUpPr/>
  </sheetPr>
  <dimension ref="B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3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2B45"/>
    <outlinePr summaryBelow="1" summaryRight="1"/>
    <pageSetUpPr/>
  </sheetPr>
  <dimension ref="B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34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</t>
        </is>
      </c>
      <c r="G7" s="15" t="inlineStr">
        <is>
          <t>Alergény</t>
        </is>
      </c>
      <c r="H7" s="15" t="inlineStr">
        <is>
          <t>Požiarna ochrana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53" t="n"/>
    </row>
    <row r="25" ht="30" customHeight="1">
      <c r="B25" s="61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Gastro / pohostinstvo (SK)</dc:title>
  <dcterms:created xsi:type="dcterms:W3CDTF">2026-05-31T10:23:26Z</dcterms:created>
  <dcterms:modified xsi:type="dcterms:W3CDTF">2026-05-31T10:23:27Z</dcterms:modified>
</cp:coreProperties>
</file>