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zákuskov" sheetId="5" state="visible" r:id="rId5"/>
    <sheet name="05 · Suroviny a odpis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2A1726"/>
      <sz val="22"/>
    </font>
    <font>
      <name val="Calibri"/>
      <color rgb="006B7280"/>
      <sz val="11"/>
    </font>
    <font>
      <name val="Calibri"/>
      <b val="1"/>
      <color rgb="007A3B5E"/>
      <sz val="10.5"/>
    </font>
    <font>
      <name val="Calibri"/>
      <color rgb="006B7280"/>
      <sz val="10"/>
    </font>
    <font>
      <name val="Calibri"/>
      <color rgb="002A1726"/>
      <sz val="10"/>
    </font>
    <font>
      <name val="Calibri"/>
      <i val="1"/>
      <color rgb="002A1726"/>
      <sz val="9.5"/>
    </font>
    <font>
      <name val="Calibri"/>
      <i val="1"/>
      <color rgb="009AA3B0"/>
      <sz val="8"/>
    </font>
    <font>
      <name val="Calibri"/>
      <b val="1"/>
      <color rgb="002A1726"/>
      <sz val="10"/>
    </font>
    <font>
      <name val="Calibri"/>
      <b val="1"/>
      <color rgb="007A3B5E"/>
      <sz val="11"/>
    </font>
    <font>
      <name val="Calibri"/>
      <b val="1"/>
      <color rgb="00FFFFFF"/>
      <sz val="10"/>
    </font>
    <font>
      <name val="Calibri"/>
      <color rgb="002A1726"/>
      <sz val="9.5"/>
    </font>
    <font>
      <name val="Calibri"/>
      <b val="1"/>
      <color rgb="006B7280"/>
      <sz val="9.5"/>
    </font>
    <font>
      <name val="Calibri"/>
      <b val="1"/>
      <color rgb="007A3B5E"/>
      <sz val="9.5"/>
    </font>
    <font>
      <name val="Calibri"/>
      <b val="1"/>
      <color rgb="002A1726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7A3B5E"/>
      <sz val="20"/>
    </font>
    <font>
      <name val="Calibri"/>
      <b val="1"/>
      <color rgb="00D9A441"/>
      <sz val="20"/>
    </font>
    <font>
      <name val="Calibri"/>
      <b val="1"/>
      <color rgb="002A1726"/>
      <sz val="20"/>
    </font>
    <font>
      <name val="Calibri"/>
      <color rgb="002A1726"/>
      <sz val="10.5"/>
    </font>
  </fonts>
  <fills count="10">
    <fill>
      <patternFill/>
    </fill>
    <fill>
      <patternFill patternType="gray125"/>
    </fill>
    <fill>
      <patternFill patternType="solid">
        <fgColor rgb="00D9A441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7A3B5E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2A1726"/>
      </patternFill>
    </fill>
  </fills>
  <borders count="13">
    <border>
      <left/>
      <right/>
      <top/>
      <bottom/>
      <diagonal/>
    </border>
    <border>
      <bottom style="thin">
        <color rgb="007A3B5E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D9A441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9" fillId="8" borderId="9" applyAlignment="1" pivotButton="0" quotePrefix="0" xfId="0">
      <alignment horizontal="left" vertical="center" indent="1"/>
    </xf>
    <xf numFmtId="166" fontId="18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3" TargetMode="External" Id="rId1" /><Relationship Type="http://schemas.openxmlformats.org/officeDocument/2006/relationships/hyperlink" Target="#'03 &#183; Cash flow'!O18" TargetMode="External" Id="rId2" /><Relationship Type="http://schemas.openxmlformats.org/officeDocument/2006/relationships/hyperlink" Target="#'03 &#183; Cash flow'!O26" TargetMode="External" Id="rId3" /><Relationship Type="http://schemas.openxmlformats.org/officeDocument/2006/relationships/hyperlink" Target="#'03 &#183; Cash flow'!Q13" TargetMode="External" Id="rId4" /><Relationship Type="http://schemas.openxmlformats.org/officeDocument/2006/relationships/hyperlink" Target="#'03 &#183; Cash flow'!N29" TargetMode="External" Id="rId5" /><Relationship Type="http://schemas.openxmlformats.org/officeDocument/2006/relationships/hyperlink" Target="#'04 &#183; Mar&#382;a z&#225;kuskov'!H30" TargetMode="External" Id="rId6" /><Relationship Type="http://schemas.openxmlformats.org/officeDocument/2006/relationships/hyperlink" Target="#'05 &#183; Suroviny a odpis'!I27" TargetMode="External" Id="rId7" /><Relationship Type="http://schemas.openxmlformats.org/officeDocument/2006/relationships/hyperlink" Target="#'06 &#183; Zmeny'!I31" TargetMode="External" Id="rId8" /></Relationships>
</file>

<file path=xl/worksheets/sheet1.xml><?xml version="1.0" encoding="utf-8"?>
<worksheet xmlns="http://schemas.openxmlformats.org/spreadsheetml/2006/main">
  <sheetPr>
    <tabColor rgb="002A1726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Cukráreň</t>
        </is>
      </c>
    </row>
    <row r="2" ht="20" customHeight="1">
      <c r="B2" s="2" t="inlineStr">
        <is>
          <t>Balík, ktorý ustráži receptúry, objednávky, odpis a maržu zákuskov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zákuskov</t>
        </is>
      </c>
      <c r="C7" s="7" t="inlineStr">
        <is>
          <t>Náklad na kus podľa receptúry a marža výrobku</t>
        </is>
      </c>
    </row>
    <row r="8" ht="20" customHeight="1">
      <c r="B8" s="6" t="inlineStr">
        <is>
          <t xml:space="preserve">  Suroviny a odpis</t>
        </is>
      </c>
      <c r="C8" s="7" t="inlineStr">
        <is>
          <t>Spotreba surovín a hodnota odpisu nepredaného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Denné tržby predajne a uzávierka pokladne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nábeh + 3 priority + kontrola chladenia</t>
        </is>
      </c>
    </row>
    <row r="15" ht="22" customHeight="1">
      <c r="B15" s="8" t="inlineStr">
        <is>
          <t>•  VÝROBA: navažovanie podľa receptúr + objednávky tort</t>
        </is>
      </c>
    </row>
    <row r="16" ht="22" customHeight="1">
      <c r="B16" s="8" t="inlineStr">
        <is>
          <t>•  POČAS DŇA: predaj vo vitríne + odpis nepredaného</t>
        </is>
      </c>
    </row>
    <row r="17" ht="22" customHeight="1">
      <c r="B17" s="8" t="inlineStr">
        <is>
          <t>•  VEČER: uzávierka + objednávka surovín</t>
        </is>
      </c>
    </row>
    <row r="18" ht="22" customHeight="1">
      <c r="B18" s="8" t="inlineStr">
        <is>
          <t>•  MESAČNE: cash flow + prehľad marže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9A441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rozvrh výroby a objednávok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teploty chladiacich vitrín a mrazení</t>
        </is>
      </c>
      <c r="C33" s="21" t="n"/>
      <c r="D33" s="21" t="n"/>
      <c r="E33" s="18" t="n"/>
    </row>
    <row r="34" ht="19" customHeight="1">
      <c r="B34" s="22" t="inlineStr">
        <is>
          <t xml:space="preserve">  Otvorenie: objednávky tort na dnes pripravené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nepredané zákusky odpísané a zapísané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objednávka surovín (smotana, čokoláda)</t>
        </is>
      </c>
      <c r="C36" s="21" t="n"/>
      <c r="D36" s="21" t="n"/>
      <c r="E36" s="18" t="n"/>
    </row>
    <row r="37" ht="19" customHeight="1">
      <c r="B37" s="20" t="inlineStr">
        <is>
          <t xml:space="preserve">  Zatvorenie: chladiaci reťazec a hygiena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A3B5E"/>
    <outlinePr summaryBelow="1" summaryRight="1"/>
    <pageSetUpPr/>
  </sheetPr>
  <dimension ref="A1:L28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marža zákuskov, odpis a mzdy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TRŽBY VS PLÁN  ↗</t>
        </is>
      </c>
      <c r="D11" s="29" t="n"/>
      <c r="F11" s="28" t="inlineStr">
        <is>
          <t>KONCOVÁ HOTOVOSŤ  ↗</t>
        </is>
      </c>
      <c r="H11" s="29" t="n"/>
      <c r="J11" s="28" t="inlineStr">
        <is>
          <t>PRIEMERNÁ MARŽA ZÁKUSKOV  ↗</t>
        </is>
      </c>
      <c r="L11" s="29" t="n"/>
    </row>
    <row r="12" ht="22" customHeight="1">
      <c r="B12" s="30">
        <f>IFERROR('03 · Cash flow'!Q13,0)</f>
        <v/>
      </c>
      <c r="D12" s="29" t="n"/>
      <c r="F12" s="31">
        <f>IFERROR('03 · Cash flow'!N29,0)</f>
        <v/>
      </c>
      <c r="H12" s="29" t="n"/>
      <c r="J12" s="36">
        <f>IFERROR('04 · Marža zákuskov'!H30,0)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  <c r="F15" s="26" t="inlineStr"/>
      <c r="G15" s="24" t="n"/>
      <c r="H15" s="25" t="n"/>
    </row>
    <row r="16" ht="18" customHeight="1">
      <c r="B16" s="28" t="inlineStr">
        <is>
          <t>HODNOTA ODPISU (NEPREDANÉ)  ↗</t>
        </is>
      </c>
      <c r="D16" s="29" t="n"/>
      <c r="F16" s="28" t="inlineStr">
        <is>
          <t>PODIEL MIEZD  ↗</t>
        </is>
      </c>
      <c r="H16" s="29" t="n"/>
    </row>
    <row r="17" ht="22" customHeight="1">
      <c r="B17" s="30">
        <f>IFERROR('05 · Suroviny a odpis'!I27,0)</f>
        <v/>
      </c>
      <c r="D17" s="29" t="n"/>
      <c r="F17" s="37">
        <f>IFERROR('06 · Zmeny'!I31,0)</f>
        <v/>
      </c>
      <c r="H17" s="29" t="n"/>
    </row>
    <row r="18" ht="14" customHeight="1">
      <c r="B18" s="33" t="n"/>
      <c r="C18" s="34" t="n"/>
      <c r="D18" s="35" t="n"/>
      <c r="F18" s="33" t="n"/>
      <c r="G18" s="34" t="n"/>
      <c r="H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flow'!P13="","Tržby vs plán: zadajte ročný plán v hárku Cash flow.","Tržby vs plán: "&amp;TEXT('03 · Cash flow'!Q13,"#,##0 €")&amp;" ("&amp;TEXT('03 · Cash flow'!R13,"+0.0%;-0.0%")&amp;") — "&amp;IF('03 · Cash flow'!R13&gt;=0,"NAD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"&amp;TEXT('06 · Zmeny'!I31,"0.0%")&amp;IF('06 · Zmeny'!I31&gt;0.35,"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IFERROR("Hodnota strát/odpisu: "&amp;TEXT('05 · Suroviny a odpis'!I27,"#,##0.00 €")&amp;".","Straty: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IFERROR("Položky pod cieľovou maržou: "&amp;TEXT('04 · Marža zákuskov'!H31,"0")&amp;".","Marža: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 ht="24" customHeight="1">
      <c r="B26" s="39">
        <f>IFERROR("Rozdiel v pokladni (rok): "&amp;TEXT('07 · Tržby'!H40,"#,##0.00 €")&amp;IF(ABS('07 · Tržby'!H40)&gt;1," — preverte."," — sedí."),"Pokladňa: zatiaľ bez dát.")</f>
        <v/>
      </c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</row>
    <row r="27"/>
    <row r="28" ht="30" customHeight="1">
      <c r="B28" s="9" t="inlineStr">
        <is>
          <t xml:space="preserve">  Tieto čísla sa aktualizujú automaticky, keď vyplníte ostatné hárky.</t>
        </is>
      </c>
    </row>
  </sheetData>
  <mergeCells count="34">
    <mergeCell ref="B11:D11"/>
    <mergeCell ref="J6:L6"/>
    <mergeCell ref="B26:L26"/>
    <mergeCell ref="F5:H5"/>
    <mergeCell ref="B25:L25"/>
    <mergeCell ref="B22:L22"/>
    <mergeCell ref="B7:D8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B28:L28"/>
    <mergeCell ref="F17:H18"/>
    <mergeCell ref="F11:H11"/>
    <mergeCell ref="B16:D16"/>
    <mergeCell ref="J5:L5"/>
    <mergeCell ref="F10:H10"/>
    <mergeCell ref="J7:L8"/>
    <mergeCell ref="F16:H16"/>
    <mergeCell ref="F6:H6"/>
    <mergeCell ref="J10:L10"/>
    <mergeCell ref="B24:L24"/>
    <mergeCell ref="B20:L20"/>
    <mergeCell ref="F15:H15"/>
    <mergeCell ref="J12:L13"/>
  </mergeCells>
  <conditionalFormatting sqref="J7">
    <cfRule type="cellIs" priority="1" operator="lessThan" dxfId="0">
      <formula>0</formula>
    </cfRule>
  </conditionalFormatting>
  <conditionalFormatting sqref="F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  <hyperlink xmlns:r="http://schemas.openxmlformats.org/officeDocument/2006/relationships" ref="F16" r:id="rId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A3B5E"/>
    <outlinePr summaryBelow="1" summaryRight="1"/>
    <pageSetUpPr/>
  </sheetPr>
  <dimension ref="A1:R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41.1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vitrína (zákusky, dezerty)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objednávky (torty/akcie)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veľkoodber (kaviarne/hotely)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45" t="inlineStr">
        <is>
          <t>Tržby spolu</t>
        </is>
      </c>
      <c r="C13" s="43">
        <f>SUM(C10:C12)</f>
        <v/>
      </c>
      <c r="D13" s="43">
        <f>SUM(D10:D12)</f>
        <v/>
      </c>
      <c r="E13" s="43">
        <f>SUM(E10:E12)</f>
        <v/>
      </c>
      <c r="F13" s="43">
        <f>SUM(F10:F12)</f>
        <v/>
      </c>
      <c r="G13" s="43">
        <f>SUM(G10:G12)</f>
        <v/>
      </c>
      <c r="H13" s="43">
        <f>SUM(H10:H12)</f>
        <v/>
      </c>
      <c r="I13" s="43">
        <f>SUM(I10:I12)</f>
        <v/>
      </c>
      <c r="J13" s="43">
        <f>SUM(J10:J12)</f>
        <v/>
      </c>
      <c r="K13" s="43">
        <f>SUM(K10:K12)</f>
        <v/>
      </c>
      <c r="L13" s="43">
        <f>SUM(L10:L12)</f>
        <v/>
      </c>
      <c r="M13" s="43">
        <f>SUM(M10:M12)</f>
        <v/>
      </c>
      <c r="N13" s="43">
        <f>SUM(N10:N12)</f>
        <v/>
      </c>
      <c r="O13" s="42">
        <f>SUM(C13:N13)</f>
        <v/>
      </c>
      <c r="P13" s="42">
        <f>SUM(P10:P12)</f>
        <v/>
      </c>
      <c r="Q13" s="42">
        <f>IF(OR(O13="",P13=""),"",O13-P13)</f>
        <v/>
      </c>
      <c r="R13" s="46">
        <f>IF(OR(P13="",P13=0,O13=""),"",(O13-P13)/P13)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Nákup surovín (smotana, čokoláda, ovocie)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  <c r="P15" s="41" t="n"/>
      <c r="Q15" s="43">
        <f>IF(OR(O15="",P15=""),"",O15-P15)</f>
        <v/>
      </c>
      <c r="R15" s="44">
        <f>IF(OR(P15="",P15=0,O15=""),"",(O15-P15)/P15)</f>
        <v/>
      </c>
    </row>
    <row r="16" ht="16" customHeight="1">
      <c r="B16" s="20" t="inlineStr">
        <is>
          <t>Obaly a dekorácie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45" t="inlineStr">
        <is>
          <t>Náklady spolu</t>
        </is>
      </c>
      <c r="C17" s="43">
        <f>SUM(C15:C16)</f>
        <v/>
      </c>
      <c r="D17" s="43">
        <f>SUM(D15:D16)</f>
        <v/>
      </c>
      <c r="E17" s="43">
        <f>SUM(E15:E16)</f>
        <v/>
      </c>
      <c r="F17" s="43">
        <f>SUM(F15:F16)</f>
        <v/>
      </c>
      <c r="G17" s="43">
        <f>SUM(G15:G16)</f>
        <v/>
      </c>
      <c r="H17" s="43">
        <f>SUM(H15:H16)</f>
        <v/>
      </c>
      <c r="I17" s="43">
        <f>SUM(I15:I16)</f>
        <v/>
      </c>
      <c r="J17" s="43">
        <f>SUM(J15:J16)</f>
        <v/>
      </c>
      <c r="K17" s="43">
        <f>SUM(K15:K16)</f>
        <v/>
      </c>
      <c r="L17" s="43">
        <f>SUM(L15:L16)</f>
        <v/>
      </c>
      <c r="M17" s="43">
        <f>SUM(M15:M16)</f>
        <v/>
      </c>
      <c r="N17" s="43">
        <f>SUM(N15:N16)</f>
        <v/>
      </c>
      <c r="O17" s="42">
        <f>SUM(C17:N17)</f>
        <v/>
      </c>
      <c r="P17" s="42">
        <f>SUM(P15:P16)</f>
        <v/>
      </c>
      <c r="Q17" s="42">
        <f>IF(OR(O17="",P17=""),"",O17-P17)</f>
        <v/>
      </c>
      <c r="R17" s="46">
        <f>IF(OR(P17="",P17=0,O17=""),"",(O17-P17)/P17)</f>
        <v/>
      </c>
    </row>
    <row r="18" ht="16" customHeight="1">
      <c r="B18" s="45" t="inlineStr">
        <is>
          <t>HRUBÁ MARŽA</t>
        </is>
      </c>
      <c r="C18" s="43">
        <f>C13-C17</f>
        <v/>
      </c>
      <c r="D18" s="43">
        <f>D13-D17</f>
        <v/>
      </c>
      <c r="E18" s="43">
        <f>E13-E17</f>
        <v/>
      </c>
      <c r="F18" s="43">
        <f>F13-F17</f>
        <v/>
      </c>
      <c r="G18" s="43">
        <f>G13-G17</f>
        <v/>
      </c>
      <c r="H18" s="43">
        <f>H13-H17</f>
        <v/>
      </c>
      <c r="I18" s="43">
        <f>I13-I17</f>
        <v/>
      </c>
      <c r="J18" s="43">
        <f>J13-J17</f>
        <v/>
      </c>
      <c r="K18" s="43">
        <f>K13-K17</f>
        <v/>
      </c>
      <c r="L18" s="43">
        <f>L13-L17</f>
        <v/>
      </c>
      <c r="M18" s="43">
        <f>M13-M17</f>
        <v/>
      </c>
      <c r="N18" s="43">
        <f>N13-N17</f>
        <v/>
      </c>
      <c r="O18" s="42">
        <f>SUM(C18:N18)</f>
        <v/>
      </c>
      <c r="P18" s="42">
        <f>P13-P17</f>
        <v/>
      </c>
      <c r="Q18" s="42">
        <f>IF(OR(O18="",P18=""),"",O18-P18)</f>
        <v/>
      </c>
      <c r="R18" s="46">
        <f>IF(OR(P18="",P18=0,O18=""),"",(O18-P18)/P18)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  <c r="P20" s="41" t="n"/>
      <c r="Q20" s="43">
        <f>IF(OR(O20="",P20=""),"",O20-P20)</f>
        <v/>
      </c>
      <c r="R20" s="44">
        <f>IF(OR(P20="",P20=0,O20=""),"",(O20-P20)/P20)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Energie a chladenie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Marketing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45" t="inlineStr">
        <is>
          <t>Réžie spolu</t>
        </is>
      </c>
      <c r="C25" s="43">
        <f>SUM(C20:C24)</f>
        <v/>
      </c>
      <c r="D25" s="43">
        <f>SUM(D20:D24)</f>
        <v/>
      </c>
      <c r="E25" s="43">
        <f>SUM(E20:E24)</f>
        <v/>
      </c>
      <c r="F25" s="43">
        <f>SUM(F20:F24)</f>
        <v/>
      </c>
      <c r="G25" s="43">
        <f>SUM(G20:G24)</f>
        <v/>
      </c>
      <c r="H25" s="43">
        <f>SUM(H20:H24)</f>
        <v/>
      </c>
      <c r="I25" s="43">
        <f>SUM(I20:I24)</f>
        <v/>
      </c>
      <c r="J25" s="43">
        <f>SUM(J20:J24)</f>
        <v/>
      </c>
      <c r="K25" s="43">
        <f>SUM(K20:K24)</f>
        <v/>
      </c>
      <c r="L25" s="43">
        <f>SUM(L20:L24)</f>
        <v/>
      </c>
      <c r="M25" s="43">
        <f>SUM(M20:M24)</f>
        <v/>
      </c>
      <c r="N25" s="43">
        <f>SUM(N20:N24)</f>
        <v/>
      </c>
      <c r="O25" s="42">
        <f>SUM(C25:N25)</f>
        <v/>
      </c>
      <c r="P25" s="42">
        <f>SUM(P20:P24)</f>
        <v/>
      </c>
      <c r="Q25" s="42">
        <f>IF(OR(O25="",P25=""),"",O25-P25)</f>
        <v/>
      </c>
      <c r="R25" s="46">
        <f>IF(OR(P25="",P25=0,O25=""),"",(O25-P25)/P25)</f>
        <v/>
      </c>
    </row>
    <row r="26" ht="16" customHeight="1">
      <c r="B26" s="45" t="inlineStr">
        <is>
          <t>ČISTÝ ZISK</t>
        </is>
      </c>
      <c r="C26" s="43">
        <f>C18-C25</f>
        <v/>
      </c>
      <c r="D26" s="43">
        <f>D18-D25</f>
        <v/>
      </c>
      <c r="E26" s="43">
        <f>E18-E25</f>
        <v/>
      </c>
      <c r="F26" s="43">
        <f>F18-F25</f>
        <v/>
      </c>
      <c r="G26" s="43">
        <f>G18-G25</f>
        <v/>
      </c>
      <c r="H26" s="43">
        <f>H18-H25</f>
        <v/>
      </c>
      <c r="I26" s="43">
        <f>I18-I25</f>
        <v/>
      </c>
      <c r="J26" s="43">
        <f>J18-J25</f>
        <v/>
      </c>
      <c r="K26" s="43">
        <f>K18-K25</f>
        <v/>
      </c>
      <c r="L26" s="43">
        <f>L18-L25</f>
        <v/>
      </c>
      <c r="M26" s="43">
        <f>M18-M25</f>
        <v/>
      </c>
      <c r="N26" s="43">
        <f>N18-N25</f>
        <v/>
      </c>
      <c r="O26" s="42">
        <f>SUM(C26:N26)</f>
        <v/>
      </c>
      <c r="P26" s="42">
        <f>P18-P25</f>
        <v/>
      </c>
      <c r="Q26" s="42">
        <f>IF(OR(O26="",P26=""),"",O26-P26)</f>
        <v/>
      </c>
      <c r="R26" s="46">
        <f>IF(OR(P26="",P26=0,O26=""),"",(O26-P26)/P26)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3">
        <f>C29</f>
        <v/>
      </c>
      <c r="E28" s="43">
        <f>D29</f>
        <v/>
      </c>
      <c r="F28" s="43">
        <f>E29</f>
        <v/>
      </c>
      <c r="G28" s="43">
        <f>F29</f>
        <v/>
      </c>
      <c r="H28" s="43">
        <f>G29</f>
        <v/>
      </c>
      <c r="I28" s="43">
        <f>H29</f>
        <v/>
      </c>
      <c r="J28" s="43">
        <f>I29</f>
        <v/>
      </c>
      <c r="K28" s="43">
        <f>J29</f>
        <v/>
      </c>
      <c r="L28" s="43">
        <f>K29</f>
        <v/>
      </c>
      <c r="M28" s="43">
        <f>L29</f>
        <v/>
      </c>
      <c r="N28" s="43">
        <f>M29</f>
        <v/>
      </c>
      <c r="O28" s="43">
        <f>C28</f>
        <v/>
      </c>
    </row>
    <row r="29">
      <c r="B29" s="45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14:R14"/>
    <mergeCell ref="B9:R9"/>
    <mergeCell ref="B27:R27"/>
    <mergeCell ref="C5:E5"/>
    <mergeCell ref="B7:R7"/>
    <mergeCell ref="B2:R2"/>
    <mergeCell ref="B19:R19"/>
    <mergeCell ref="B1:R1"/>
  </mergeCells>
  <conditionalFormatting sqref="Q13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8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6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29:N29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9A441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zákuskov</t>
        </is>
      </c>
    </row>
    <row r="2" ht="20" customHeight="1">
      <c r="B2" s="2" t="inlineStr">
        <is>
          <t>Náklad na kus podľa receptúry a marža výrobku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Výrobok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Veterník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Laskonka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Torta Sacher (rez)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Makrónka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Tiramisu (porcia)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inlineStr">
        <is>
          <t>Torta na objednávku (kg)</t>
        </is>
      </c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A3B5E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Suroviny a odpis</t>
        </is>
      </c>
    </row>
    <row r="2" ht="20" customHeight="1">
      <c r="B2" s="2" t="inlineStr">
        <is>
          <t>Spotreba surovín a hodnota odpisu nepredaného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30" customHeight="1">
      <c r="B8" s="15" t="inlineStr">
        <is>
          <t>Surovina / výrobok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Odpis (množ.)</t>
        </is>
      </c>
      <c r="H8" s="15" t="inlineStr">
        <is>
          <t>Cena/jedn. €</t>
        </is>
      </c>
      <c r="I8" s="15" t="inlineStr">
        <is>
          <t>Hodnota — odpis €</t>
        </is>
      </c>
    </row>
    <row r="9" ht="19" customHeight="1">
      <c r="B9" s="47" t="inlineStr">
        <is>
          <t>Smotana na šľahanie</t>
        </is>
      </c>
      <c r="C9" s="48" t="n"/>
      <c r="D9" s="18" t="n"/>
      <c r="E9" s="18" t="n"/>
      <c r="F9" s="18" t="n"/>
      <c r="G9" s="18" t="n"/>
      <c r="H9" s="49" t="n"/>
      <c r="I9" s="51">
        <f>IF(OR(G9="",H9=""),"",G9*H9)</f>
        <v/>
      </c>
    </row>
    <row r="10" ht="19" customHeight="1">
      <c r="B10" s="54" t="inlineStr">
        <is>
          <t>Čokoláda (poleva)</t>
        </is>
      </c>
      <c r="C10" s="55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47" t="inlineStr">
        <is>
          <t>Maslo</t>
        </is>
      </c>
      <c r="C11" s="4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4" t="inlineStr">
        <is>
          <t>Zákusky (nepredané)</t>
        </is>
      </c>
      <c r="C12" s="55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47" t="inlineStr">
        <is>
          <t>Ovocie (dekor)</t>
        </is>
      </c>
      <c r="C13" s="4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4" t="n"/>
      <c r="C14" s="55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47" t="n"/>
      <c r="C15" s="4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4" t="n"/>
      <c r="C16" s="55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47" t="n"/>
      <c r="C17" s="4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4" t="n"/>
      <c r="C18" s="55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47" t="n"/>
      <c r="C19" s="4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4" t="n"/>
      <c r="C20" s="55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47" t="n"/>
      <c r="C21" s="4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4" t="n"/>
      <c r="C22" s="55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47" t="n"/>
      <c r="C23" s="4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4" t="n"/>
      <c r="C24" s="55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47" t="n"/>
      <c r="C25" s="4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4" t="n"/>
      <c r="C26" s="55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>
      <c r="B27" s="57" t="inlineStr">
        <is>
          <t>Odpis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9A441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~30 % tržieb.</t>
        </is>
      </c>
    </row>
    <row r="9" ht="30" customHeight="1">
      <c r="B9" s="15" t="inlineStr">
        <is>
          <t>Pozícia (cukrár / predavač)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A3B5E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predajne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 · objednávky.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A1726"/>
    <outlinePr summaryBelow="1" summaryRight="1"/>
    <pageSetUpPr/>
  </sheetPr>
  <dimension ref="A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.2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Manipulácia s bremenami</t>
        </is>
      </c>
      <c r="F7" s="15" t="inlineStr">
        <is>
          <t>Hygiena potravín (HACCP)</t>
        </is>
      </c>
      <c r="G7" s="15" t="inlineStr">
        <is>
          <t>Alergény (lepok, orechy, mlieko…)</t>
        </is>
      </c>
      <c r="H7" s="15" t="inlineStr">
        <is>
          <t>Chladiaci reťazec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Cukráreň (SK)</dc:title>
  <dcterms:created xsi:type="dcterms:W3CDTF">2026-05-31T20:10:14Z</dcterms:created>
  <dcterms:modified xsi:type="dcterms:W3CDTF">2026-05-31T20:10:14Z</dcterms:modified>
</cp:coreProperties>
</file>