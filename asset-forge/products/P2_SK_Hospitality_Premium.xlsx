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· Metóda" sheetId="1" state="visible" r:id="rId1"/>
    <sheet name="01 · Denný plán" sheetId="2" state="visible" r:id="rId2"/>
    <sheet name="02 · Prehľad" sheetId="3" state="visible" r:id="rId3"/>
    <sheet name="03 · Cash flow" sheetId="4" state="visible" r:id="rId4"/>
    <sheet name="04 · Marža" sheetId="5" state="visible" r:id="rId5"/>
    <sheet name="05 · Zásoby" sheetId="6" state="visible" r:id="rId6"/>
    <sheet name="06 · Zmeny" sheetId="7" state="visible" r:id="rId7"/>
    <sheet name="07 · Tržby" sheetId="8" state="visible" r:id="rId8"/>
    <sheet name="08 · Školeni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#,##0\ &quot;€&quot;"/>
    <numFmt numFmtId="166" formatCode="0.0%"/>
    <numFmt numFmtId="167" formatCode="#,##0.00\ &quot;€&quot;"/>
  </numFmts>
  <fonts count="21">
    <font>
      <name val="Calibri"/>
      <family val="2"/>
      <color theme="1"/>
      <sz val="11"/>
      <scheme val="minor"/>
    </font>
    <font>
      <name val="Calibri Light"/>
      <b val="1"/>
      <color rgb="001A2B45"/>
      <sz val="22"/>
    </font>
    <font>
      <name val="Calibri"/>
      <color rgb="006B7280"/>
      <sz val="11"/>
    </font>
    <font>
      <name val="Calibri"/>
      <b val="1"/>
      <color rgb="002D6CDF"/>
      <sz val="10.5"/>
    </font>
    <font>
      <name val="Calibri"/>
      <color rgb="006B7280"/>
      <sz val="10"/>
    </font>
    <font>
      <name val="Calibri"/>
      <color rgb="001A2B45"/>
      <sz val="10"/>
    </font>
    <font>
      <name val="Calibri"/>
      <i val="1"/>
      <color rgb="001A2B45"/>
      <sz val="9.5"/>
    </font>
    <font>
      <name val="Calibri"/>
      <i val="1"/>
      <color rgb="009AA3B0"/>
      <sz val="8"/>
    </font>
    <font>
      <name val="Calibri"/>
      <b val="1"/>
      <color rgb="001A2B45"/>
      <sz val="10"/>
    </font>
    <font>
      <name val="Calibri"/>
      <b val="1"/>
      <color rgb="002D6CDF"/>
      <sz val="11"/>
    </font>
    <font>
      <name val="Calibri"/>
      <b val="1"/>
      <color rgb="00FFFFFF"/>
      <sz val="10"/>
    </font>
    <font>
      <name val="Calibri"/>
      <color rgb="001A2B45"/>
      <sz val="9.5"/>
    </font>
    <font>
      <name val="Calibri"/>
      <b val="1"/>
      <color rgb="006B7280"/>
      <sz val="9.5"/>
    </font>
    <font>
      <name val="Calibri"/>
      <b val="1"/>
      <color rgb="006B7280"/>
      <sz val="9"/>
    </font>
    <font>
      <name val="Calibri"/>
      <b val="1"/>
      <color rgb="002D6CDF"/>
      <sz val="20"/>
    </font>
    <font>
      <name val="Calibri"/>
      <b val="1"/>
      <color rgb="0015A38C"/>
      <sz val="20"/>
    </font>
    <font>
      <name val="Calibri"/>
      <b val="1"/>
      <color rgb="001A2B45"/>
      <sz val="20"/>
    </font>
    <font>
      <name val="Calibri"/>
      <color rgb="001A2B45"/>
      <sz val="10.5"/>
    </font>
    <font>
      <name val="Calibri"/>
      <b val="1"/>
      <color rgb="002D6CDF"/>
      <sz val="9.5"/>
    </font>
    <font>
      <name val="Calibri"/>
      <b val="1"/>
      <color rgb="001A2B45"/>
      <sz val="9.5"/>
    </font>
    <font>
      <name val="Calibri"/>
      <i val="1"/>
      <color rgb="001E9E6A"/>
      <sz val="9.5"/>
    </font>
  </fonts>
  <fills count="10">
    <fill>
      <patternFill/>
    </fill>
    <fill>
      <patternFill patternType="gray125"/>
    </fill>
    <fill>
      <patternFill patternType="solid">
        <fgColor rgb="0015A38C"/>
      </patternFill>
    </fill>
    <fill>
      <patternFill patternType="solid">
        <fgColor rgb="00E9F0FA"/>
      </patternFill>
    </fill>
    <fill>
      <patternFill patternType="solid">
        <fgColor rgb="00FFF7E6"/>
      </patternFill>
    </fill>
    <fill>
      <patternFill patternType="solid">
        <fgColor rgb="002D6CDF"/>
      </patternFill>
    </fill>
    <fill>
      <patternFill patternType="solid">
        <fgColor rgb="00F4F7FB"/>
      </patternFill>
    </fill>
    <fill>
      <patternFill patternType="solid">
        <fgColor rgb="00FFFFFF"/>
      </patternFill>
    </fill>
    <fill>
      <patternFill patternType="solid">
        <fgColor rgb="001A2B45"/>
      </patternFill>
    </fill>
    <fill>
      <patternFill patternType="solid">
        <fgColor rgb="00E6F4EC"/>
      </patternFill>
    </fill>
  </fills>
  <borders count="13">
    <border>
      <left/>
      <right/>
      <top/>
      <bottom/>
      <diagonal/>
    </border>
    <border>
      <bottom style="thin">
        <color rgb="002D6CDF"/>
      </bottom>
    </border>
    <border>
      <left style="thin">
        <color rgb="00EBD49B"/>
      </left>
      <right style="thin">
        <color rgb="00EBD49B"/>
      </right>
      <top style="thin">
        <color rgb="00EBD49B"/>
      </top>
      <bottom style="thin">
        <color rgb="00EBD49B"/>
      </bottom>
    </border>
    <border>
      <bottom style="thin">
        <color rgb="0015A38C"/>
      </bottom>
    </border>
    <border>
      <bottom style="thin">
        <color rgb="00DCE3ED"/>
      </bottom>
    </border>
    <border>
      <left/>
      <right/>
      <top/>
      <bottom style="thin">
        <color rgb="00DCE3ED"/>
      </bottom>
      <diagonal/>
    </border>
    <border>
      <left style="thin">
        <color rgb="00DCE3ED"/>
      </left>
      <top style="thin">
        <color rgb="00DCE3ED"/>
      </top>
    </border>
    <border>
      <top style="thin">
        <color rgb="00DCE3ED"/>
      </top>
    </border>
    <border>
      <right style="thin">
        <color rgb="00DCE3ED"/>
      </right>
      <top style="thin">
        <color rgb="00DCE3ED"/>
      </top>
    </border>
    <border>
      <left style="thin">
        <color rgb="00DCE3ED"/>
      </left>
    </border>
    <border>
      <right style="thin">
        <color rgb="00DCE3ED"/>
      </right>
    </border>
    <border>
      <left style="thin">
        <color rgb="00DCE3ED"/>
      </left>
      <bottom style="thin">
        <color rgb="00DCE3ED"/>
      </bottom>
    </border>
    <border>
      <right style="thin">
        <color rgb="00DCE3ED"/>
      </right>
      <bottom style="thin">
        <color rgb="00DCE3ED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 indent="1"/>
    </xf>
    <xf numFmtId="0" fontId="6" fillId="3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4" fontId="0" fillId="4" borderId="2" pivotButton="0" quotePrefix="0" xfId="0"/>
    <xf numFmtId="0" fontId="0" fillId="4" borderId="2" pivotButton="0" quotePrefix="0" xfId="0"/>
    <xf numFmtId="0" fontId="9" fillId="0" borderId="0" applyAlignment="1" pivotButton="0" quotePrefix="0" xfId="0">
      <alignment horizontal="center" vertical="center"/>
    </xf>
    <xf numFmtId="0" fontId="10" fillId="5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 indent="1"/>
    </xf>
    <xf numFmtId="0" fontId="11" fillId="4" borderId="2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 indent="1"/>
    </xf>
    <xf numFmtId="0" fontId="0" fillId="0" borderId="5" pivotButton="0" quotePrefix="0" xfId="0"/>
    <xf numFmtId="0" fontId="11" fillId="6" borderId="4" applyAlignment="1" pivotButton="0" quotePrefix="0" xfId="0">
      <alignment horizontal="left" vertical="center" indent="1"/>
    </xf>
    <xf numFmtId="0" fontId="0" fillId="5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2" borderId="6" pivotButton="0" quotePrefix="0" xfId="0"/>
    <xf numFmtId="0" fontId="0" fillId="8" borderId="6" pivotButton="0" quotePrefix="0" xfId="0"/>
    <xf numFmtId="0" fontId="13" fillId="7" borderId="9" applyAlignment="1" pivotButton="0" quotePrefix="0" xfId="0">
      <alignment horizontal="left" vertical="center" indent="1"/>
    </xf>
    <xf numFmtId="0" fontId="0" fillId="0" borderId="10" pivotButton="0" quotePrefix="0" xfId="0"/>
    <xf numFmtId="165" fontId="14" fillId="7" borderId="9" applyAlignment="1" pivotButton="0" quotePrefix="0" xfId="0">
      <alignment horizontal="left" vertical="center" indent="1"/>
    </xf>
    <xf numFmtId="165" fontId="15" fillId="7" borderId="9" applyAlignment="1" pivotButton="0" quotePrefix="0" xfId="0">
      <alignment horizontal="left" vertical="center" indent="1"/>
    </xf>
    <xf numFmtId="165" fontId="16" fillId="7" borderId="9" applyAlignment="1" pivotButton="0" quotePrefix="0" xfId="0">
      <alignment horizontal="left" vertical="center" indent="1"/>
    </xf>
    <xf numFmtId="0" fontId="0" fillId="0" borderId="11" pivotButton="0" quotePrefix="0" xfId="0"/>
    <xf numFmtId="0" fontId="0" fillId="0" borderId="4" pivotButton="0" quotePrefix="0" xfId="0"/>
    <xf numFmtId="0" fontId="0" fillId="0" borderId="12" pivotButton="0" quotePrefix="0" xfId="0"/>
    <xf numFmtId="166" fontId="15" fillId="7" borderId="9" applyAlignment="1" pivotButton="0" quotePrefix="0" xfId="0">
      <alignment horizontal="left" vertical="center" indent="1"/>
    </xf>
    <xf numFmtId="166" fontId="16" fillId="7" borderId="9" applyAlignment="1" pivotButton="0" quotePrefix="0" xfId="0">
      <alignment horizontal="left" vertical="center" indent="1"/>
    </xf>
    <xf numFmtId="0" fontId="17" fillId="0" borderId="4" applyAlignment="1" pivotButton="0" quotePrefix="0" xfId="0">
      <alignment horizontal="left" vertical="center" indent="1"/>
    </xf>
    <xf numFmtId="0" fontId="17" fillId="6" borderId="4" applyAlignment="1" pivotButton="0" quotePrefix="0" xfId="0">
      <alignment horizontal="left" vertical="center" indent="1"/>
    </xf>
    <xf numFmtId="0" fontId="18" fillId="3" borderId="0" applyAlignment="1" pivotButton="0" quotePrefix="0" xfId="0">
      <alignment horizontal="left" vertical="center" indent="1"/>
    </xf>
    <xf numFmtId="167" fontId="0" fillId="4" borderId="2" pivotButton="0" quotePrefix="0" xfId="0"/>
    <xf numFmtId="167" fontId="19" fillId="3" borderId="4" pivotButton="0" quotePrefix="0" xfId="0"/>
    <xf numFmtId="0" fontId="19" fillId="0" borderId="4" applyAlignment="1" pivotButton="0" quotePrefix="0" xfId="0">
      <alignment horizontal="left" vertical="center" indent="1"/>
    </xf>
    <xf numFmtId="167" fontId="11" fillId="3" borderId="4" pivotButton="0" quotePrefix="0" xfId="0"/>
    <xf numFmtId="0" fontId="11" fillId="0" borderId="4" applyAlignment="1" pivotButton="0" quotePrefix="0" xfId="0">
      <alignment horizontal="left" vertical="center" indent="1"/>
    </xf>
    <xf numFmtId="0" fontId="11" fillId="0" borderId="4" applyAlignment="1" pivotButton="0" quotePrefix="0" xfId="0">
      <alignment horizontal="center" vertical="center"/>
    </xf>
    <xf numFmtId="167" fontId="11" fillId="4" borderId="2" applyAlignment="1" pivotButton="0" quotePrefix="0" xfId="0">
      <alignment horizontal="center" vertical="center"/>
    </xf>
    <xf numFmtId="166" fontId="11" fillId="4" borderId="2" applyAlignment="1" pivotButton="0" quotePrefix="0" xfId="0">
      <alignment horizontal="center" vertical="center"/>
    </xf>
    <xf numFmtId="167" fontId="11" fillId="3" borderId="4" applyAlignment="1" pivotButton="0" quotePrefix="0" xfId="0">
      <alignment horizontal="center" vertical="center"/>
    </xf>
    <xf numFmtId="166" fontId="11" fillId="3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left" vertical="center" indent="1"/>
    </xf>
    <xf numFmtId="0" fontId="11" fillId="6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18" fillId="0" borderId="0" pivotButton="0" quotePrefix="0" xfId="0"/>
    <xf numFmtId="166" fontId="19" fillId="3" borderId="4" pivotButton="0" quotePrefix="0" xfId="0"/>
    <xf numFmtId="0" fontId="19" fillId="3" borderId="4" pivotButton="0" quotePrefix="0" xfId="0"/>
    <xf numFmtId="0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center" vertical="center"/>
    </xf>
    <xf numFmtId="0" fontId="20" fillId="9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3">
    <dxf>
      <font>
        <name val="Calibri"/>
        <b val="1"/>
        <color rgb="00C0392B"/>
        <sz val="20"/>
      </font>
    </dxf>
    <dxf>
      <font>
        <name val="Calibri"/>
        <b val="1"/>
        <color rgb="00C0392B"/>
        <sz val="9.5"/>
      </font>
      <fill>
        <patternFill patternType="solid">
          <fgColor rgb="00F8E1DD"/>
        </patternFill>
      </fill>
    </dxf>
    <dxf>
      <font>
        <name val="Calibri"/>
        <color rgb="001E9E6A"/>
        <sz val="9.5"/>
      </font>
      <fill>
        <patternFill patternType="solid">
          <fgColor rgb="00E6F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2B45"/>
    <outlinePr summaryBelow="1" summaryRight="1"/>
    <pageSetUpPr/>
  </sheetPr>
  <dimension ref="B1:K25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3" customWidth="1" min="2" max="2"/>
    <col width="52" customWidth="1" min="3" max="3"/>
    <col width="30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8" customHeight="1">
      <c r="B1" s="1" t="inlineStr">
        <is>
          <t>Prevádzka a marža pre gastro</t>
        </is>
      </c>
    </row>
    <row r="2" ht="20" customHeight="1">
      <c r="B2" s="2" t="inlineStr">
        <is>
          <t>Balík nástrojov, ktorý vám ukáže maržu, mzdy a hotovosť skôr, než zabolia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5" ht="24" customHeight="1">
      <c r="B5" s="4" t="inlineStr">
        <is>
          <t>ČO BALÍK OBSAHUJE</t>
        </is>
      </c>
      <c r="C5" s="5" t="n"/>
      <c r="D5" s="5" t="n"/>
      <c r="E5" s="5" t="n"/>
      <c r="F5" s="5" t="n"/>
      <c r="G5" s="5" t="n"/>
      <c r="H5" s="5" t="n"/>
      <c r="I5" s="5" t="n"/>
    </row>
    <row r="6" ht="20" customHeight="1">
      <c r="B6" s="6" t="inlineStr">
        <is>
          <t xml:space="preserve">  01 · Denný plán</t>
        </is>
      </c>
      <c r="C6" s="7" t="inlineStr">
        <is>
          <t>priority dňa, časový rozvrh, otvorenie/zatvorenie</t>
        </is>
      </c>
    </row>
    <row r="7" ht="20" customHeight="1">
      <c r="B7" s="6" t="inlineStr">
        <is>
          <t xml:space="preserve">  02 · Prehľad</t>
        </is>
      </c>
      <c r="C7" s="7" t="inlineStr">
        <is>
          <t>automatický dashboard — KPI a postrehy z vašich čísel</t>
        </is>
      </c>
    </row>
    <row r="8" ht="20" customHeight="1">
      <c r="B8" s="6" t="inlineStr">
        <is>
          <t xml:space="preserve">  03 · Cash flow</t>
        </is>
      </c>
      <c r="C8" s="7" t="inlineStr">
        <is>
          <t>12-mesačný cash flow a výkaz ziskov a strát</t>
        </is>
      </c>
    </row>
    <row r="9" ht="20" customHeight="1">
      <c r="B9" s="6" t="inlineStr">
        <is>
          <t xml:space="preserve">  04 · Marža</t>
        </is>
      </c>
      <c r="C9" s="7" t="inlineStr">
        <is>
          <t>kalkulácia nákladov a hrubej marže receptúr</t>
        </is>
      </c>
    </row>
    <row r="10" ht="20" customHeight="1">
      <c r="B10" s="6" t="inlineStr">
        <is>
          <t xml:space="preserve">  05 · Zásoby</t>
        </is>
      </c>
      <c r="C10" s="7" t="inlineStr">
        <is>
          <t>sledovač zásob a hodnoty strát</t>
        </is>
      </c>
    </row>
    <row r="11" ht="20" customHeight="1">
      <c r="B11" s="6" t="inlineStr">
        <is>
          <t xml:space="preserve">  06 · Zmeny</t>
        </is>
      </c>
      <c r="C11" s="7" t="inlineStr">
        <is>
          <t>plánovač zmien a podielu mzdových nákladov</t>
        </is>
      </c>
    </row>
    <row r="12" ht="20" customHeight="1">
      <c r="B12" s="6" t="inlineStr">
        <is>
          <t xml:space="preserve">  07 · Tržby</t>
        </is>
      </c>
      <c r="C12" s="7" t="inlineStr">
        <is>
          <t>denné tržby a uzávierka pokladne</t>
        </is>
      </c>
    </row>
    <row r="13" ht="20" customHeight="1">
      <c r="B13" s="6" t="inlineStr">
        <is>
          <t xml:space="preserve">  08 · Školenia</t>
        </is>
      </c>
      <c r="C13" s="7" t="inlineStr">
        <is>
          <t>matica školení a zaškolenia — dôkaz pred zmenou</t>
        </is>
      </c>
    </row>
    <row r="15" ht="24" customHeight="1">
      <c r="B15" s="4" t="inlineStr">
        <is>
          <t>METÓDA — AKO TO POUŽÍVAŤ KAŽDÝ DEŇ</t>
        </is>
      </c>
      <c r="C15" s="5" t="n"/>
      <c r="D15" s="5" t="n"/>
      <c r="E15" s="5" t="n"/>
      <c r="F15" s="5" t="n"/>
      <c r="G15" s="5" t="n"/>
      <c r="H15" s="5" t="n"/>
      <c r="I15" s="5" t="n"/>
    </row>
    <row r="16" ht="22" customHeight="1">
      <c r="B16" s="8" t="inlineStr">
        <is>
          <t>•  RÁNO (5 min): otvorte „01 · Denný plán“ — zapíšte 3 priority a prejdite otvorenie.</t>
        </is>
      </c>
    </row>
    <row r="17" ht="22" customHeight="1">
      <c r="B17" s="8" t="inlineStr">
        <is>
          <t>•  POČAS DŇA: zapisujte tržby do „07 · Tržby“ a straty do „05 · Zásoby“.</t>
        </is>
      </c>
    </row>
    <row r="18" ht="22" customHeight="1">
      <c r="B18" s="8" t="inlineStr">
        <is>
          <t>•  VEČER (5 min): uzávierka pokladne v „07 · Tržby“, kontrola rozdielu.</t>
        </is>
      </c>
    </row>
    <row r="19" ht="22" customHeight="1">
      <c r="B19" s="8" t="inlineStr">
        <is>
          <t>•  TÝŽDENNE: skontrolujte „06 · Zmeny“ (podiel miezd) a „04 · Marža“.</t>
        </is>
      </c>
    </row>
    <row r="20" ht="22" customHeight="1">
      <c r="B20" s="8" t="inlineStr">
        <is>
          <t>•  MESAČNE: vyplňte „03 · Cash flow“ a pozrite „02 · Prehľad“ — uvidíte celý obraz.</t>
        </is>
      </c>
    </row>
    <row r="22" ht="24" customHeight="1">
      <c r="B22" s="4" t="inlineStr">
        <is>
          <t>FARBY</t>
        </is>
      </c>
      <c r="C22" s="5" t="n"/>
      <c r="D22" s="5" t="n"/>
      <c r="E22" s="5" t="n"/>
      <c r="F22" s="5" t="n"/>
      <c r="G22" s="5" t="n"/>
      <c r="H22" s="5" t="n"/>
      <c r="I22" s="5" t="n"/>
    </row>
    <row r="23" ht="30" customHeight="1">
      <c r="B23" s="9" t="inlineStr">
        <is>
          <t xml:space="preserve">  Oranžová = vyplníte vy    ·    Modrá = vypočíta sa automaticky    ·    Biela/sivá = záznamy</t>
        </is>
      </c>
    </row>
    <row r="25" ht="22" customHeight="1">
      <c r="B25" s="10" t="inlineStr">
        <is>
          <t>ASSET-FORGE · v1.0 · 31/05/2026 · EU (Írsko) · Šablóna — nie je finančné ani právne poradenstvo.</t>
        </is>
      </c>
    </row>
  </sheetData>
  <mergeCells count="20">
    <mergeCell ref="C6:G6"/>
    <mergeCell ref="B17:G17"/>
    <mergeCell ref="B22:I22"/>
    <mergeCell ref="B19:G19"/>
    <mergeCell ref="C10:G10"/>
    <mergeCell ref="B2:I2"/>
    <mergeCell ref="B25:K25"/>
    <mergeCell ref="B23:I23"/>
    <mergeCell ref="B1:I1"/>
    <mergeCell ref="C9:G9"/>
    <mergeCell ref="B20:G20"/>
    <mergeCell ref="C12:G12"/>
    <mergeCell ref="C11:G11"/>
    <mergeCell ref="C8:G8"/>
    <mergeCell ref="B16:G16"/>
    <mergeCell ref="C7:G7"/>
    <mergeCell ref="B15:I15"/>
    <mergeCell ref="B5:I5"/>
    <mergeCell ref="B18:G18"/>
    <mergeCell ref="C13:G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A38C"/>
    <outlinePr summaryBelow="1" summaryRight="1"/>
    <pageSetUpPr/>
  </sheetPr>
  <dimension ref="B1:I3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3" customWidth="1" min="2" max="2"/>
    <col width="12" customWidth="1" min="3" max="3"/>
    <col width="44" customWidth="1" min="4" max="4"/>
    <col width="16" customWidth="1" min="5" max="5"/>
    <col width="12" customWidth="1" min="6" max="6"/>
  </cols>
  <sheetData>
    <row r="1" ht="38" customHeight="1">
      <c r="B1" s="1" t="inlineStr">
        <is>
          <t>Denný plán</t>
        </is>
      </c>
    </row>
    <row r="2" ht="20" customHeight="1">
      <c r="B2" s="2" t="inlineStr">
        <is>
          <t>Začnite deň s tromi prioritami a jasným rozvrhom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5" ht="20" customHeight="1">
      <c r="B5" s="11" t="inlineStr">
        <is>
          <t>Dátum</t>
        </is>
      </c>
      <c r="C5" s="12" t="n"/>
    </row>
    <row r="6" ht="20" customHeight="1">
      <c r="B6" s="11" t="inlineStr">
        <is>
          <t>Deň</t>
        </is>
      </c>
      <c r="C6" s="13" t="n"/>
    </row>
    <row r="8" ht="24" customHeight="1">
      <c r="B8" s="4" t="inlineStr">
        <is>
          <t>DNEŠNÉ 3 PRIORITY</t>
        </is>
      </c>
      <c r="C8" s="5" t="n"/>
      <c r="D8" s="5" t="n"/>
      <c r="E8" s="5" t="n"/>
    </row>
    <row r="9" ht="22" customHeight="1">
      <c r="B9" s="14" t="inlineStr">
        <is>
          <t>1</t>
        </is>
      </c>
      <c r="C9" s="13" t="n"/>
    </row>
    <row r="10" ht="22" customHeight="1">
      <c r="B10" s="14" t="inlineStr">
        <is>
          <t>2</t>
        </is>
      </c>
      <c r="C10" s="13" t="n"/>
    </row>
    <row r="11" ht="22" customHeight="1">
      <c r="B11" s="14" t="inlineStr">
        <is>
          <t>3</t>
        </is>
      </c>
      <c r="C11" s="13" t="n"/>
    </row>
    <row r="13" ht="24" customHeight="1">
      <c r="B13" s="4" t="inlineStr">
        <is>
          <t>ROZVRH DŇA</t>
        </is>
      </c>
      <c r="C13" s="5" t="n"/>
      <c r="D13" s="5" t="n"/>
      <c r="E13" s="5" t="n"/>
    </row>
    <row r="14" ht="30" customHeight="1">
      <c r="B14" s="15" t="inlineStr">
        <is>
          <t>Čas</t>
        </is>
      </c>
      <c r="C14" s="15" t="inlineStr">
        <is>
          <t>Úloha</t>
        </is>
      </c>
      <c r="D14" s="15" t="inlineStr">
        <is>
          <t>Priorita</t>
        </is>
      </c>
      <c r="E14" s="15" t="inlineStr">
        <is>
          <t>Hotovo</t>
        </is>
      </c>
    </row>
    <row r="15" ht="19" customHeight="1">
      <c r="B15" s="16" t="inlineStr">
        <is>
          <t>07:00</t>
        </is>
      </c>
      <c r="C15" s="17" t="n"/>
      <c r="D15" s="18" t="n"/>
      <c r="E15" s="18" t="n"/>
    </row>
    <row r="16" ht="19" customHeight="1">
      <c r="B16" s="19" t="inlineStr">
        <is>
          <t>08:00</t>
        </is>
      </c>
      <c r="C16" s="17" t="n"/>
      <c r="D16" s="18" t="n"/>
      <c r="E16" s="18" t="n"/>
    </row>
    <row r="17" ht="19" customHeight="1">
      <c r="B17" s="16" t="inlineStr">
        <is>
          <t>09:00</t>
        </is>
      </c>
      <c r="C17" s="17" t="n"/>
      <c r="D17" s="18" t="n"/>
      <c r="E17" s="18" t="n"/>
    </row>
    <row r="18" ht="19" customHeight="1">
      <c r="B18" s="19" t="inlineStr">
        <is>
          <t>10:00</t>
        </is>
      </c>
      <c r="C18" s="17" t="n"/>
      <c r="D18" s="18" t="n"/>
      <c r="E18" s="18" t="n"/>
    </row>
    <row r="19" ht="19" customHeight="1">
      <c r="B19" s="16" t="inlineStr">
        <is>
          <t>11:00</t>
        </is>
      </c>
      <c r="C19" s="17" t="n"/>
      <c r="D19" s="18" t="n"/>
      <c r="E19" s="18" t="n"/>
    </row>
    <row r="20" ht="19" customHeight="1">
      <c r="B20" s="19" t="inlineStr">
        <is>
          <t>12:00</t>
        </is>
      </c>
      <c r="C20" s="17" t="n"/>
      <c r="D20" s="18" t="n"/>
      <c r="E20" s="18" t="n"/>
    </row>
    <row r="21" ht="19" customHeight="1">
      <c r="B21" s="16" t="inlineStr">
        <is>
          <t>13:00</t>
        </is>
      </c>
      <c r="C21" s="17" t="n"/>
      <c r="D21" s="18" t="n"/>
      <c r="E21" s="18" t="n"/>
    </row>
    <row r="22" ht="19" customHeight="1">
      <c r="B22" s="19" t="inlineStr">
        <is>
          <t>14:00</t>
        </is>
      </c>
      <c r="C22" s="17" t="n"/>
      <c r="D22" s="18" t="n"/>
      <c r="E22" s="18" t="n"/>
    </row>
    <row r="23" ht="19" customHeight="1">
      <c r="B23" s="16" t="inlineStr">
        <is>
          <t>15:00</t>
        </is>
      </c>
      <c r="C23" s="17" t="n"/>
      <c r="D23" s="18" t="n"/>
      <c r="E23" s="18" t="n"/>
    </row>
    <row r="24" ht="19" customHeight="1">
      <c r="B24" s="19" t="inlineStr">
        <is>
          <t>16:00</t>
        </is>
      </c>
      <c r="C24" s="17" t="n"/>
      <c r="D24" s="18" t="n"/>
      <c r="E24" s="18" t="n"/>
    </row>
    <row r="25" ht="19" customHeight="1">
      <c r="B25" s="16" t="inlineStr">
        <is>
          <t>17:00</t>
        </is>
      </c>
      <c r="C25" s="17" t="n"/>
      <c r="D25" s="18" t="n"/>
      <c r="E25" s="18" t="n"/>
    </row>
    <row r="26" ht="19" customHeight="1">
      <c r="B26" s="19" t="inlineStr">
        <is>
          <t>18:00</t>
        </is>
      </c>
      <c r="C26" s="17" t="n"/>
      <c r="D26" s="18" t="n"/>
      <c r="E26" s="18" t="n"/>
    </row>
    <row r="27" ht="19" customHeight="1">
      <c r="B27" s="16" t="inlineStr">
        <is>
          <t>19:00</t>
        </is>
      </c>
      <c r="C27" s="17" t="n"/>
      <c r="D27" s="18" t="n"/>
      <c r="E27" s="18" t="n"/>
    </row>
    <row r="28" ht="19" customHeight="1">
      <c r="B28" s="19" t="inlineStr">
        <is>
          <t>20:00</t>
        </is>
      </c>
      <c r="C28" s="17" t="n"/>
      <c r="D28" s="18" t="n"/>
      <c r="E28" s="18" t="n"/>
    </row>
    <row r="29" ht="19" customHeight="1">
      <c r="B29" s="16" t="inlineStr">
        <is>
          <t>21:00</t>
        </is>
      </c>
      <c r="C29" s="17" t="n"/>
      <c r="D29" s="18" t="n"/>
      <c r="E29" s="18" t="n"/>
    </row>
    <row r="30" ht="19" customHeight="1">
      <c r="B30" s="19" t="inlineStr">
        <is>
          <t>22:00</t>
        </is>
      </c>
      <c r="C30" s="17" t="n"/>
      <c r="D30" s="18" t="n"/>
      <c r="E30" s="18" t="n"/>
    </row>
    <row r="32" ht="24" customHeight="1">
      <c r="B32" s="4" t="inlineStr">
        <is>
          <t>OTVORENIE / ZATVORENIE</t>
        </is>
      </c>
      <c r="C32" s="5" t="n"/>
      <c r="D32" s="5" t="n"/>
      <c r="E32" s="5" t="n"/>
    </row>
    <row r="33" ht="19" customHeight="1">
      <c r="B33" s="20" t="inlineStr">
        <is>
          <t xml:space="preserve">  Otvorenie: teploty chladničiek skontrolované</t>
        </is>
      </c>
      <c r="C33" s="21" t="n"/>
      <c r="D33" s="21" t="n"/>
      <c r="E33" s="18" t="n"/>
    </row>
    <row r="34" ht="19" customHeight="1">
      <c r="B34" s="22" t="inlineStr">
        <is>
          <t xml:space="preserve">  Otvorenie: hotovosť v pokladni spočítaná</t>
        </is>
      </c>
      <c r="C34" s="21" t="n"/>
      <c r="D34" s="21" t="n"/>
      <c r="E34" s="18" t="n"/>
    </row>
    <row r="35" ht="19" customHeight="1">
      <c r="B35" s="20" t="inlineStr">
        <is>
          <t xml:space="preserve">  Zatvorenie: tržby zapísané do hárku 07</t>
        </is>
      </c>
      <c r="C35" s="21" t="n"/>
      <c r="D35" s="21" t="n"/>
      <c r="E35" s="18" t="n"/>
    </row>
    <row r="36" ht="19" customHeight="1">
      <c r="B36" s="22" t="inlineStr">
        <is>
          <t xml:space="preserve">  Zatvorenie: straty zapísané do hárku 05</t>
        </is>
      </c>
      <c r="C36" s="21" t="n"/>
      <c r="D36" s="21" t="n"/>
      <c r="E36" s="18" t="n"/>
    </row>
    <row r="37" ht="19" customHeight="1">
      <c r="B37" s="20" t="inlineStr">
        <is>
          <t xml:space="preserve">  Zatvorenie: spotrebiče vypnuté, prevádzka zabezpečená</t>
        </is>
      </c>
      <c r="C37" s="21" t="n"/>
      <c r="D37" s="21" t="n"/>
      <c r="E37" s="18" t="n"/>
    </row>
  </sheetData>
  <mergeCells count="14">
    <mergeCell ref="B33:D33"/>
    <mergeCell ref="C11:E11"/>
    <mergeCell ref="B8:E8"/>
    <mergeCell ref="C6:D6"/>
    <mergeCell ref="B36:D36"/>
    <mergeCell ref="B37:D37"/>
    <mergeCell ref="B13:E13"/>
    <mergeCell ref="B2:I2"/>
    <mergeCell ref="B35:D35"/>
    <mergeCell ref="C9:E9"/>
    <mergeCell ref="B32:E32"/>
    <mergeCell ref="B1:I1"/>
    <mergeCell ref="B34:D34"/>
    <mergeCell ref="C10:E10"/>
  </mergeCells>
  <dataValidations count="2">
    <dataValidation sqref="D15 D16 D17 D18 D19 D20 D21 D22 D23 D24 D25 D26 D27 D28 D29 D30" showDropDown="0" showInputMessage="0" showErrorMessage="0" allowBlank="1" type="list">
      <formula1>"Vysoká,Stredná,Nízka"</formula1>
    </dataValidation>
    <dataValidation sqref="E15 E16 E17 E18 E19 E20 E21 E22 E23 E24 E25 E26 E27 E28 E29 E30 E33 E34 E35 E36 E37" showDropDown="0" showInputMessage="0" showErrorMessage="0" allowBlank="1" type="list">
      <formula1>"Áno,Nie"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6CDF"/>
    <outlinePr summaryBelow="1" summaryRight="1"/>
    <pageSetUpPr/>
  </sheetPr>
  <dimension ref="B1:L22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38" customHeight="1">
      <c r="B1" s="1" t="inlineStr">
        <is>
          <t>Prehľad</t>
        </is>
      </c>
    </row>
    <row r="2" ht="20" customHeight="1">
      <c r="B2" s="2" t="inlineStr">
        <is>
          <t>Automatický dashboard — ťahá živé čísla z ostatných hárkov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5" ht="4" customHeight="1">
      <c r="B5" s="23" t="inlineStr"/>
      <c r="C5" s="24" t="n"/>
      <c r="D5" s="25" t="n"/>
      <c r="F5" s="26" t="inlineStr"/>
      <c r="G5" s="24" t="n"/>
      <c r="H5" s="25" t="n"/>
      <c r="J5" s="27" t="inlineStr"/>
      <c r="K5" s="24" t="n"/>
      <c r="L5" s="25" t="n"/>
    </row>
    <row r="6" ht="18" customHeight="1">
      <c r="B6" s="28" t="inlineStr">
        <is>
          <t>ROČNÉ TRŽBY</t>
        </is>
      </c>
      <c r="D6" s="29" t="n"/>
      <c r="F6" s="28" t="inlineStr">
        <is>
          <t>HRUBÁ MARŽA (ROK)</t>
        </is>
      </c>
      <c r="H6" s="29" t="n"/>
      <c r="J6" s="28" t="inlineStr">
        <is>
          <t>ČISTÝ ZISK (ROK)</t>
        </is>
      </c>
      <c r="L6" s="29" t="n"/>
    </row>
    <row r="7" ht="22" customHeight="1">
      <c r="B7" s="30">
        <f>IFERROR('03 · Cash flow'!O13,0)</f>
        <v/>
      </c>
      <c r="D7" s="29" t="n"/>
      <c r="F7" s="31">
        <f>IFERROR('03 · Cash flow'!O18,0)</f>
        <v/>
      </c>
      <c r="H7" s="29" t="n"/>
      <c r="J7" s="32">
        <f>IFERROR('03 · Cash flow'!O26,0)</f>
        <v/>
      </c>
      <c r="L7" s="29" t="n"/>
    </row>
    <row r="8" ht="14" customHeight="1">
      <c r="B8" s="33" t="n"/>
      <c r="C8" s="34" t="n"/>
      <c r="D8" s="35" t="n"/>
      <c r="F8" s="33" t="n"/>
      <c r="G8" s="34" t="n"/>
      <c r="H8" s="35" t="n"/>
      <c r="J8" s="33" t="n"/>
      <c r="K8" s="34" t="n"/>
      <c r="L8" s="35" t="n"/>
    </row>
    <row r="10" ht="4" customHeight="1">
      <c r="B10" s="23" t="inlineStr"/>
      <c r="C10" s="24" t="n"/>
      <c r="D10" s="25" t="n"/>
      <c r="F10" s="26" t="inlineStr"/>
      <c r="G10" s="24" t="n"/>
      <c r="H10" s="25" t="n"/>
      <c r="J10" s="27" t="inlineStr"/>
      <c r="K10" s="24" t="n"/>
      <c r="L10" s="25" t="n"/>
    </row>
    <row r="11" ht="18" customHeight="1">
      <c r="B11" s="28" t="inlineStr">
        <is>
          <t>KONCOVÁ HOTOVOSŤ</t>
        </is>
      </c>
      <c r="D11" s="29" t="n"/>
      <c r="F11" s="28" t="inlineStr">
        <is>
          <t>PRIEMERNÁ MARŽA</t>
        </is>
      </c>
      <c r="H11" s="29" t="n"/>
      <c r="J11" s="28" t="inlineStr">
        <is>
          <t>PODIEL MIEZD</t>
        </is>
      </c>
      <c r="L11" s="29" t="n"/>
    </row>
    <row r="12" ht="22" customHeight="1">
      <c r="B12" s="30">
        <f>IFERROR('03 · Cash flow'!N29,0)</f>
        <v/>
      </c>
      <c r="D12" s="29" t="n"/>
      <c r="F12" s="36">
        <f>IFERROR('04 · Marža'!H30,0)</f>
        <v/>
      </c>
      <c r="H12" s="29" t="n"/>
      <c r="J12" s="37">
        <f>IFERROR('06 · Zmeny'!I31,0)</f>
        <v/>
      </c>
      <c r="L12" s="29" t="n"/>
    </row>
    <row r="13" ht="14" customHeight="1">
      <c r="B13" s="33" t="n"/>
      <c r="C13" s="34" t="n"/>
      <c r="D13" s="35" t="n"/>
      <c r="F13" s="33" t="n"/>
      <c r="G13" s="34" t="n"/>
      <c r="H13" s="35" t="n"/>
      <c r="J13" s="33" t="n"/>
      <c r="K13" s="34" t="n"/>
      <c r="L13" s="35" t="n"/>
    </row>
    <row r="15" ht="24" customHeight="1">
      <c r="B15" s="4" t="inlineStr">
        <is>
          <t>POSTREHY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 ht="24" customHeight="1">
      <c r="B16" s="38">
        <f>IFERROR("Čistá marža: "&amp;TEXT('03 · Cash flow'!O26/'03 · Cash flow'!O13,"0.0%")&amp;IF('03 · Cash flow'!O26/'03 · Cash flow'!O13&gt;=0.1," — zdravé."," — pozor, je nízka."),"Čistá marža: zatiaľ bez dát.")</f>
        <v/>
      </c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</row>
    <row r="17" ht="24" customHeight="1">
      <c r="B17" s="39">
        <f>IFERROR("Podiel miezd: "&amp;TEXT('06 · Zmeny'!I31,"0.0%")&amp;IF('06 · Zmeny'!I31&gt;0.35," — NAD cieľom 35 %, skontrolujte zmeny."," — v poriadku."),"Podiel miezd: zatiaľ bez dát.")</f>
        <v/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</row>
    <row r="18" ht="24" customHeight="1">
      <c r="B18" s="38">
        <f>IFERROR("Hodnota strát na zásobách: "&amp;TEXT('05 · Zásoby'!I27,"#,##0.00 €")&amp;".","Straty: zatiaľ bez dát.")</f>
        <v/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</row>
    <row r="19" ht="24" customHeight="1">
      <c r="B19" s="39">
        <f>IFERROR("Položky pod cieľovou maržou: "&amp;TEXT('04 · Marža'!H31,"0")&amp;" — zvážte cenu alebo recept.","Marža: zatiaľ bez dát.")</f>
        <v/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</row>
    <row r="20" ht="24" customHeight="1">
      <c r="B20" s="38">
        <f>IFERROR("Rozdiel v pokladni (rok): "&amp;TEXT('07 · Tržby'!H40,"#,##0.00 €")&amp;IF(ABS('07 · Tržby'!H40)&gt;1," — preverte uzávierky."," — sedí."),"Pokladňa: zatiaľ bez dát.")</f>
        <v/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</row>
    <row r="22" ht="30" customHeight="1">
      <c r="B22" s="9" t="inlineStr">
        <is>
          <t xml:space="preserve">  Tieto čísla sa aktualizujú automaticky, keď vyplníte hárky 03–07.</t>
        </is>
      </c>
    </row>
  </sheetData>
  <mergeCells count="27">
    <mergeCell ref="B11:D11"/>
    <mergeCell ref="J6:L6"/>
    <mergeCell ref="F5:H5"/>
    <mergeCell ref="B16:L16"/>
    <mergeCell ref="B22:L22"/>
    <mergeCell ref="B7:D8"/>
    <mergeCell ref="B18:L18"/>
    <mergeCell ref="J11:L11"/>
    <mergeCell ref="B10:D10"/>
    <mergeCell ref="F7:H8"/>
    <mergeCell ref="B2:I2"/>
    <mergeCell ref="B12:D13"/>
    <mergeCell ref="F12:H13"/>
    <mergeCell ref="B1:I1"/>
    <mergeCell ref="B6:D6"/>
    <mergeCell ref="B17:L17"/>
    <mergeCell ref="B5:D5"/>
    <mergeCell ref="B19:L19"/>
    <mergeCell ref="F11:H11"/>
    <mergeCell ref="J5:L5"/>
    <mergeCell ref="F10:H10"/>
    <mergeCell ref="J7:L8"/>
    <mergeCell ref="F6:H6"/>
    <mergeCell ref="J10:L10"/>
    <mergeCell ref="B15:L15"/>
    <mergeCell ref="B20:L20"/>
    <mergeCell ref="J12:L13"/>
  </mergeCells>
  <conditionalFormatting sqref="J7">
    <cfRule type="cellIs" priority="1" operator="lessThan" dxfId="0">
      <formula>0</formula>
    </cfRule>
  </conditionalFormatting>
  <conditionalFormatting sqref="J12">
    <cfRule type="cellIs" priority="2" operator="greaterThan" dxfId="0">
      <formula>0.35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D6CDF"/>
    <outlinePr summaryBelow="1" summaryRight="1"/>
    <pageSetUpPr/>
  </sheetPr>
  <dimension ref="B1:O29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6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12" customWidth="1" min="15" max="15"/>
  </cols>
  <sheetData>
    <row r="1" ht="38" customHeight="1">
      <c r="B1" s="1" t="inlineStr">
        <is>
          <t>Cash flow a výkaz ziskov a strát</t>
        </is>
      </c>
    </row>
    <row r="2" ht="20" customHeight="1">
      <c r="B2" s="2" t="inlineStr">
        <is>
          <t>12-mesačný prehľad hotovosti a mesačný zisk/strata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Rok</t>
        </is>
      </c>
      <c r="C6" s="13" t="n"/>
    </row>
    <row r="7" ht="30" customHeight="1">
      <c r="B7" s="9" t="inlineStr">
        <is>
          <t xml:space="preserve">  Vyplňte oranžové bunky. Súčty, marža, zisk a koncová hotovosť sa počítajú automaticky.</t>
        </is>
      </c>
    </row>
    <row r="8" ht="30" customHeight="1">
      <c r="B8" s="15" t="inlineStr">
        <is>
          <t>Položka</t>
        </is>
      </c>
      <c r="C8" s="15" t="inlineStr">
        <is>
          <t>Jan</t>
        </is>
      </c>
      <c r="D8" s="15" t="inlineStr">
        <is>
          <t>Feb</t>
        </is>
      </c>
      <c r="E8" s="15" t="inlineStr">
        <is>
          <t>Mar</t>
        </is>
      </c>
      <c r="F8" s="15" t="inlineStr">
        <is>
          <t>Apr</t>
        </is>
      </c>
      <c r="G8" s="15" t="inlineStr">
        <is>
          <t>Máj</t>
        </is>
      </c>
      <c r="H8" s="15" t="inlineStr">
        <is>
          <t>Jún</t>
        </is>
      </c>
      <c r="I8" s="15" t="inlineStr">
        <is>
          <t>Júl</t>
        </is>
      </c>
      <c r="J8" s="15" t="inlineStr">
        <is>
          <t>Aug</t>
        </is>
      </c>
      <c r="K8" s="15" t="inlineStr">
        <is>
          <t>Sep</t>
        </is>
      </c>
      <c r="L8" s="15" t="inlineStr">
        <is>
          <t>Okt</t>
        </is>
      </c>
      <c r="M8" s="15" t="inlineStr">
        <is>
          <t>Nov</t>
        </is>
      </c>
      <c r="N8" s="15" t="inlineStr">
        <is>
          <t>Dec</t>
        </is>
      </c>
      <c r="O8" s="15" t="inlineStr">
        <is>
          <t>Rok</t>
        </is>
      </c>
    </row>
    <row r="9" ht="18" customHeight="1">
      <c r="B9" s="40" t="inlineStr">
        <is>
          <t>TRŽBY</t>
        </is>
      </c>
    </row>
    <row r="10" ht="16" customHeight="1">
      <c r="B10" s="20" t="inlineStr">
        <is>
          <t>Tržby z jedál</t>
        </is>
      </c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2">
        <f>SUM(C10:N10)</f>
        <v/>
      </c>
    </row>
    <row r="11" ht="16" customHeight="1">
      <c r="B11" s="20" t="inlineStr">
        <is>
          <t>Tržby z nápojov</t>
        </is>
      </c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2">
        <f>SUM(C11:N11)</f>
        <v/>
      </c>
    </row>
    <row r="12" ht="16" customHeight="1">
      <c r="B12" s="20" t="inlineStr">
        <is>
          <t>Ostatné príjmy</t>
        </is>
      </c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2">
        <f>SUM(C12:N12)</f>
        <v/>
      </c>
    </row>
    <row r="13" ht="16" customHeight="1">
      <c r="B13" s="43" t="inlineStr">
        <is>
          <t>Tržby spolu</t>
        </is>
      </c>
      <c r="C13" s="44">
        <f>SUM(C10:C12)</f>
        <v/>
      </c>
      <c r="D13" s="44">
        <f>SUM(D10:D12)</f>
        <v/>
      </c>
      <c r="E13" s="44">
        <f>SUM(E10:E12)</f>
        <v/>
      </c>
      <c r="F13" s="44">
        <f>SUM(F10:F12)</f>
        <v/>
      </c>
      <c r="G13" s="44">
        <f>SUM(G10:G12)</f>
        <v/>
      </c>
      <c r="H13" s="44">
        <f>SUM(H10:H12)</f>
        <v/>
      </c>
      <c r="I13" s="44">
        <f>SUM(I10:I12)</f>
        <v/>
      </c>
      <c r="J13" s="44">
        <f>SUM(J10:J12)</f>
        <v/>
      </c>
      <c r="K13" s="44">
        <f>SUM(K10:K12)</f>
        <v/>
      </c>
      <c r="L13" s="44">
        <f>SUM(L10:L12)</f>
        <v/>
      </c>
      <c r="M13" s="44">
        <f>SUM(M10:M12)</f>
        <v/>
      </c>
      <c r="N13" s="44">
        <f>SUM(N10:N12)</f>
        <v/>
      </c>
      <c r="O13" s="42">
        <f>SUM(C13:N13)</f>
        <v/>
      </c>
    </row>
    <row r="14" ht="18" customHeight="1">
      <c r="B14" s="40" t="inlineStr">
        <is>
          <t>NÁKLADY NA PREDAJ</t>
        </is>
      </c>
    </row>
    <row r="15" ht="16" customHeight="1">
      <c r="B15" s="20" t="inlineStr">
        <is>
          <t>Náklady na jedlo</t>
        </is>
      </c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2">
        <f>SUM(C15:N15)</f>
        <v/>
      </c>
    </row>
    <row r="16" ht="16" customHeight="1">
      <c r="B16" s="20" t="inlineStr">
        <is>
          <t>Náklady na nápoje</t>
        </is>
      </c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2">
        <f>SUM(C16:N16)</f>
        <v/>
      </c>
    </row>
    <row r="17" ht="16" customHeight="1">
      <c r="B17" s="43" t="inlineStr">
        <is>
          <t>Náklady spolu</t>
        </is>
      </c>
      <c r="C17" s="44">
        <f>SUM(C15:C16)</f>
        <v/>
      </c>
      <c r="D17" s="44">
        <f>SUM(D15:D16)</f>
        <v/>
      </c>
      <c r="E17" s="44">
        <f>SUM(E15:E16)</f>
        <v/>
      </c>
      <c r="F17" s="44">
        <f>SUM(F15:F16)</f>
        <v/>
      </c>
      <c r="G17" s="44">
        <f>SUM(G15:G16)</f>
        <v/>
      </c>
      <c r="H17" s="44">
        <f>SUM(H15:H16)</f>
        <v/>
      </c>
      <c r="I17" s="44">
        <f>SUM(I15:I16)</f>
        <v/>
      </c>
      <c r="J17" s="44">
        <f>SUM(J15:J16)</f>
        <v/>
      </c>
      <c r="K17" s="44">
        <f>SUM(K15:K16)</f>
        <v/>
      </c>
      <c r="L17" s="44">
        <f>SUM(L15:L16)</f>
        <v/>
      </c>
      <c r="M17" s="44">
        <f>SUM(M15:M16)</f>
        <v/>
      </c>
      <c r="N17" s="44">
        <f>SUM(N15:N16)</f>
        <v/>
      </c>
      <c r="O17" s="42">
        <f>SUM(C17:N17)</f>
        <v/>
      </c>
    </row>
    <row r="18" ht="16" customHeight="1">
      <c r="B18" s="43" t="inlineStr">
        <is>
          <t>HRUBÁ MARŽA</t>
        </is>
      </c>
      <c r="C18" s="44">
        <f>C13-C17</f>
        <v/>
      </c>
      <c r="D18" s="44">
        <f>D13-D17</f>
        <v/>
      </c>
      <c r="E18" s="44">
        <f>E13-E17</f>
        <v/>
      </c>
      <c r="F18" s="44">
        <f>F13-F17</f>
        <v/>
      </c>
      <c r="G18" s="44">
        <f>G13-G17</f>
        <v/>
      </c>
      <c r="H18" s="44">
        <f>H13-H17</f>
        <v/>
      </c>
      <c r="I18" s="44">
        <f>I13-I17</f>
        <v/>
      </c>
      <c r="J18" s="44">
        <f>J13-J17</f>
        <v/>
      </c>
      <c r="K18" s="44">
        <f>K13-K17</f>
        <v/>
      </c>
      <c r="L18" s="44">
        <f>L13-L17</f>
        <v/>
      </c>
      <c r="M18" s="44">
        <f>M13-M17</f>
        <v/>
      </c>
      <c r="N18" s="44">
        <f>N13-N17</f>
        <v/>
      </c>
      <c r="O18" s="42">
        <f>SUM(C18:N18)</f>
        <v/>
      </c>
    </row>
    <row r="19" ht="18" customHeight="1">
      <c r="B19" s="40" t="inlineStr">
        <is>
          <t>RÉŽIE</t>
        </is>
      </c>
    </row>
    <row r="20" ht="16" customHeight="1">
      <c r="B20" s="20" t="inlineStr">
        <is>
          <t>Mzdy a personál</t>
        </is>
      </c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41" t="n"/>
      <c r="N20" s="41" t="n"/>
      <c r="O20" s="42">
        <f>SUM(C20:N20)</f>
        <v/>
      </c>
    </row>
    <row r="21" ht="16" customHeight="1">
      <c r="B21" s="20" t="inlineStr">
        <is>
          <t>Nájom a poplatky</t>
        </is>
      </c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2">
        <f>SUM(C21:N21)</f>
        <v/>
      </c>
    </row>
    <row r="22" ht="16" customHeight="1">
      <c r="B22" s="20" t="inlineStr">
        <is>
          <t>Energie</t>
        </is>
      </c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2">
        <f>SUM(C22:N22)</f>
        <v/>
      </c>
    </row>
    <row r="23" ht="16" customHeight="1">
      <c r="B23" s="20" t="inlineStr">
        <is>
          <t>Marketing</t>
        </is>
      </c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2">
        <f>SUM(C23:N23)</f>
        <v/>
      </c>
    </row>
    <row r="24" ht="16" customHeight="1">
      <c r="B24" s="20" t="inlineStr">
        <is>
          <t>Ostatné réžie</t>
        </is>
      </c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2">
        <f>SUM(C24:N24)</f>
        <v/>
      </c>
    </row>
    <row r="25" ht="16" customHeight="1">
      <c r="B25" s="43" t="inlineStr">
        <is>
          <t>Réžie spolu</t>
        </is>
      </c>
      <c r="C25" s="44">
        <f>SUM(C20:C24)</f>
        <v/>
      </c>
      <c r="D25" s="44">
        <f>SUM(D20:D24)</f>
        <v/>
      </c>
      <c r="E25" s="44">
        <f>SUM(E20:E24)</f>
        <v/>
      </c>
      <c r="F25" s="44">
        <f>SUM(F20:F24)</f>
        <v/>
      </c>
      <c r="G25" s="44">
        <f>SUM(G20:G24)</f>
        <v/>
      </c>
      <c r="H25" s="44">
        <f>SUM(H20:H24)</f>
        <v/>
      </c>
      <c r="I25" s="44">
        <f>SUM(I20:I24)</f>
        <v/>
      </c>
      <c r="J25" s="44">
        <f>SUM(J20:J24)</f>
        <v/>
      </c>
      <c r="K25" s="44">
        <f>SUM(K20:K24)</f>
        <v/>
      </c>
      <c r="L25" s="44">
        <f>SUM(L20:L24)</f>
        <v/>
      </c>
      <c r="M25" s="44">
        <f>SUM(M20:M24)</f>
        <v/>
      </c>
      <c r="N25" s="44">
        <f>SUM(N20:N24)</f>
        <v/>
      </c>
      <c r="O25" s="42">
        <f>SUM(C25:N25)</f>
        <v/>
      </c>
    </row>
    <row r="26" ht="16" customHeight="1">
      <c r="B26" s="43" t="inlineStr">
        <is>
          <t>ČISTÝ ZISK</t>
        </is>
      </c>
      <c r="C26" s="44">
        <f>C18-C25</f>
        <v/>
      </c>
      <c r="D26" s="44">
        <f>D18-D25</f>
        <v/>
      </c>
      <c r="E26" s="44">
        <f>E18-E25</f>
        <v/>
      </c>
      <c r="F26" s="44">
        <f>F18-F25</f>
        <v/>
      </c>
      <c r="G26" s="44">
        <f>G18-G25</f>
        <v/>
      </c>
      <c r="H26" s="44">
        <f>H18-H25</f>
        <v/>
      </c>
      <c r="I26" s="44">
        <f>I18-I25</f>
        <v/>
      </c>
      <c r="J26" s="44">
        <f>J18-J25</f>
        <v/>
      </c>
      <c r="K26" s="44">
        <f>K18-K25</f>
        <v/>
      </c>
      <c r="L26" s="44">
        <f>L18-L25</f>
        <v/>
      </c>
      <c r="M26" s="44">
        <f>M18-M25</f>
        <v/>
      </c>
      <c r="N26" s="44">
        <f>N18-N25</f>
        <v/>
      </c>
      <c r="O26" s="42">
        <f>SUM(C26:N26)</f>
        <v/>
      </c>
    </row>
    <row r="27" ht="18" customHeight="1">
      <c r="B27" s="40" t="inlineStr">
        <is>
          <t>HOTOVOSŤ</t>
        </is>
      </c>
    </row>
    <row r="28">
      <c r="B28" s="20" t="inlineStr">
        <is>
          <t>Počiatočná hotovosť</t>
        </is>
      </c>
      <c r="C28" s="41" t="n"/>
      <c r="D28" s="44">
        <f>C29</f>
        <v/>
      </c>
      <c r="E28" s="44">
        <f>D29</f>
        <v/>
      </c>
      <c r="F28" s="44">
        <f>E29</f>
        <v/>
      </c>
      <c r="G28" s="44">
        <f>F29</f>
        <v/>
      </c>
      <c r="H28" s="44">
        <f>G29</f>
        <v/>
      </c>
      <c r="I28" s="44">
        <f>H29</f>
        <v/>
      </c>
      <c r="J28" s="44">
        <f>I29</f>
        <v/>
      </c>
      <c r="K28" s="44">
        <f>J29</f>
        <v/>
      </c>
      <c r="L28" s="44">
        <f>K29</f>
        <v/>
      </c>
      <c r="M28" s="44">
        <f>L29</f>
        <v/>
      </c>
      <c r="N28" s="44">
        <f>M29</f>
        <v/>
      </c>
      <c r="O28" s="44">
        <f>C28</f>
        <v/>
      </c>
    </row>
    <row r="29">
      <c r="B29" s="43" t="inlineStr">
        <is>
          <t>Koncová hotovosť</t>
        </is>
      </c>
      <c r="C29" s="42">
        <f>C28+C26</f>
        <v/>
      </c>
      <c r="D29" s="42">
        <f>D28+D26</f>
        <v/>
      </c>
      <c r="E29" s="42">
        <f>E28+E26</f>
        <v/>
      </c>
      <c r="F29" s="42">
        <f>F28+F26</f>
        <v/>
      </c>
      <c r="G29" s="42">
        <f>G28+G26</f>
        <v/>
      </c>
      <c r="H29" s="42">
        <f>H28+H26</f>
        <v/>
      </c>
      <c r="I29" s="42">
        <f>I28+I26</f>
        <v/>
      </c>
      <c r="J29" s="42">
        <f>J28+J26</f>
        <v/>
      </c>
      <c r="K29" s="42">
        <f>K28+K26</f>
        <v/>
      </c>
      <c r="L29" s="42">
        <f>L28+L26</f>
        <v/>
      </c>
      <c r="M29" s="42">
        <f>M28+M26</f>
        <v/>
      </c>
      <c r="N29" s="42">
        <f>N28+N26</f>
        <v/>
      </c>
      <c r="O29" s="42">
        <f>N29</f>
        <v/>
      </c>
    </row>
  </sheetData>
  <mergeCells count="8">
    <mergeCell ref="B9:O9"/>
    <mergeCell ref="B1:O1"/>
    <mergeCell ref="B27:O27"/>
    <mergeCell ref="C5:E5"/>
    <mergeCell ref="B2:O2"/>
    <mergeCell ref="B7:O7"/>
    <mergeCell ref="B19:O19"/>
    <mergeCell ref="B14:O14"/>
  </mergeCells>
  <conditionalFormatting sqref="C29:N29">
    <cfRule type="cellIs" priority="1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5A38C"/>
    <outlinePr summaryBelow="1" summaryRight="1"/>
    <pageSetUpPr/>
  </sheetPr>
  <dimension ref="B1:I3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30" customWidth="1" min="2" max="2"/>
    <col width="13" customWidth="1" min="3" max="3"/>
    <col width="13" customWidth="1" min="4" max="4"/>
    <col width="13" customWidth="1" min="5" max="5"/>
    <col width="15" customWidth="1" min="6" max="6"/>
    <col width="14" customWidth="1" min="7" max="7"/>
    <col width="12" customWidth="1" min="8" max="8"/>
    <col width="14" customWidth="1" min="9" max="9"/>
  </cols>
  <sheetData>
    <row r="1" ht="38" customHeight="1">
      <c r="B1" s="1" t="inlineStr">
        <is>
          <t>Kalkulácia marže receptúr</t>
        </is>
      </c>
    </row>
    <row r="2" ht="20" customHeight="1">
      <c r="B2" s="2" t="inlineStr">
        <is>
          <t>Náklady na porciu, hrubá marža a odporúčaná cena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5" ht="20" customHeight="1">
      <c r="B5" s="11" t="inlineStr">
        <is>
          <t>Názov prevádzky</t>
        </is>
      </c>
      <c r="C5" s="13" t="n"/>
    </row>
    <row r="6" ht="30" customHeight="1">
      <c r="B6" s="9" t="inlineStr">
        <is>
          <t xml:space="preserve">  Zadajte náklady a cieľovú maržu. Odporúčaná cena (bez DPH) sa vypočíta; vedľa vidíte reálnu maržu.</t>
        </is>
      </c>
    </row>
    <row r="7" ht="30" customHeight="1">
      <c r="B7" s="15" t="inlineStr">
        <is>
          <t>Jedlo / nápoj</t>
        </is>
      </c>
      <c r="C7" s="15" t="inlineStr">
        <is>
          <t>Veľkosť</t>
        </is>
      </c>
      <c r="D7" s="15" t="inlineStr">
        <is>
          <t>Náklady €</t>
        </is>
      </c>
      <c r="E7" s="15" t="inlineStr">
        <is>
          <t>Cieľ marža %</t>
        </is>
      </c>
      <c r="F7" s="15" t="inlineStr">
        <is>
          <t>Odpor. cena €</t>
        </is>
      </c>
      <c r="G7" s="15" t="inlineStr">
        <is>
          <t>Cena v menu €</t>
        </is>
      </c>
      <c r="H7" s="15" t="inlineStr">
        <is>
          <t>Reálna marža %</t>
        </is>
      </c>
      <c r="I7" s="15" t="inlineStr">
        <is>
          <t>Stav</t>
        </is>
      </c>
    </row>
    <row r="8" ht="19" customHeight="1">
      <c r="B8" s="45" t="inlineStr">
        <is>
          <t>Kôš s domácim chlebom</t>
        </is>
      </c>
      <c r="C8" s="46" t="inlineStr">
        <is>
          <t>120 g</t>
        </is>
      </c>
      <c r="D8" s="47" t="n">
        <v>0.45</v>
      </c>
      <c r="E8" s="48" t="n">
        <v>0.7</v>
      </c>
      <c r="F8" s="49">
        <f>IF(OR(D8="",E8=""),"",D8/(1-E8))</f>
        <v/>
      </c>
      <c r="G8" s="47" t="n"/>
      <c r="H8" s="50">
        <f>IF(OR(G8="",D8=""),"",(G8-D8)/G8)</f>
        <v/>
      </c>
      <c r="I8" s="51">
        <f>IF(OR(H8="",E8=""),"",IF(H8&lt;E8,"NÍZKA","OK"))</f>
        <v/>
      </c>
    </row>
    <row r="9" ht="19" customHeight="1">
      <c r="B9" s="52" t="inlineStr">
        <is>
          <t>Rybacia polievka</t>
        </is>
      </c>
      <c r="C9" s="53" t="inlineStr">
        <is>
          <t>350 ml</t>
        </is>
      </c>
      <c r="D9" s="47" t="n">
        <v>2.1</v>
      </c>
      <c r="E9" s="48" t="n">
        <v>0.68</v>
      </c>
      <c r="F9" s="49">
        <f>IF(OR(D9="",E9=""),"",D9/(1-E9))</f>
        <v/>
      </c>
      <c r="G9" s="47" t="n"/>
      <c r="H9" s="50">
        <f>IF(OR(G9="",D9=""),"",(G9-D9)/G9)</f>
        <v/>
      </c>
      <c r="I9" s="54">
        <f>IF(OR(H9="",E9=""),"",IF(H9&lt;E9,"NÍZKA","OK"))</f>
        <v/>
      </c>
    </row>
    <row r="10" ht="19" customHeight="1">
      <c r="B10" s="45" t="inlineStr">
        <is>
          <t>Hovädzí burger s hranolkami</t>
        </is>
      </c>
      <c r="C10" s="46" t="inlineStr">
        <is>
          <t>300 g</t>
        </is>
      </c>
      <c r="D10" s="47" t="n">
        <v>3.4</v>
      </c>
      <c r="E10" s="48" t="n">
        <v>0.68</v>
      </c>
      <c r="F10" s="49">
        <f>IF(OR(D10="",E10=""),"",D10/(1-E10))</f>
        <v/>
      </c>
      <c r="G10" s="47" t="n"/>
      <c r="H10" s="50">
        <f>IF(OR(G10="",D10=""),"",(G10-D10)/G10)</f>
        <v/>
      </c>
      <c r="I10" s="51">
        <f>IF(OR(H10="",E10=""),"",IF(H10&lt;E10,"NÍZKA","OK"))</f>
        <v/>
      </c>
    </row>
    <row r="11" ht="19" customHeight="1">
      <c r="B11" s="52" t="inlineStr">
        <is>
          <t>Cappuccino</t>
        </is>
      </c>
      <c r="C11" s="53" t="inlineStr">
        <is>
          <t>240 ml</t>
        </is>
      </c>
      <c r="D11" s="47" t="n">
        <v>0.55</v>
      </c>
      <c r="E11" s="48" t="n">
        <v>0.85</v>
      </c>
      <c r="F11" s="49">
        <f>IF(OR(D11="",E11=""),"",D11/(1-E11))</f>
        <v/>
      </c>
      <c r="G11" s="47" t="n"/>
      <c r="H11" s="50">
        <f>IF(OR(G11="",D11=""),"",(G11-D11)/G11)</f>
        <v/>
      </c>
      <c r="I11" s="54">
        <f>IF(OR(H11="",E11=""),"",IF(H11&lt;E11,"NÍZKA","OK"))</f>
        <v/>
      </c>
    </row>
    <row r="12" ht="19" customHeight="1">
      <c r="B12" s="45" t="inlineStr">
        <is>
          <t>Čapované pivo</t>
        </is>
      </c>
      <c r="C12" s="46" t="inlineStr">
        <is>
          <t>500 ml</t>
        </is>
      </c>
      <c r="D12" s="47" t="n">
        <v>1.95</v>
      </c>
      <c r="E12" s="48" t="n">
        <v>0.55</v>
      </c>
      <c r="F12" s="49">
        <f>IF(OR(D12="",E12=""),"",D12/(1-E12))</f>
        <v/>
      </c>
      <c r="G12" s="47" t="n"/>
      <c r="H12" s="50">
        <f>IF(OR(G12="",D12=""),"",(G12-D12)/G12)</f>
        <v/>
      </c>
      <c r="I12" s="51">
        <f>IF(OR(H12="",E12=""),"",IF(H12&lt;E12,"NÍZKA","OK"))</f>
        <v/>
      </c>
    </row>
    <row r="13" ht="19" customHeight="1">
      <c r="B13" s="52" t="inlineStr"/>
      <c r="C13" s="53" t="inlineStr"/>
      <c r="D13" s="47" t="n"/>
      <c r="E13" s="48" t="n"/>
      <c r="F13" s="49">
        <f>IF(OR(D13="",E13=""),"",D13/(1-E13))</f>
        <v/>
      </c>
      <c r="G13" s="47" t="n"/>
      <c r="H13" s="50">
        <f>IF(OR(G13="",D13=""),"",(G13-D13)/G13)</f>
        <v/>
      </c>
      <c r="I13" s="54">
        <f>IF(OR(H13="",E13=""),"",IF(H13&lt;E13,"NÍZKA","OK"))</f>
        <v/>
      </c>
    </row>
    <row r="14" ht="19" customHeight="1">
      <c r="B14" s="45" t="inlineStr"/>
      <c r="C14" s="46" t="inlineStr"/>
      <c r="D14" s="47" t="n"/>
      <c r="E14" s="48" t="n"/>
      <c r="F14" s="49">
        <f>IF(OR(D14="",E14=""),"",D14/(1-E14))</f>
        <v/>
      </c>
      <c r="G14" s="47" t="n"/>
      <c r="H14" s="50">
        <f>IF(OR(G14="",D14=""),"",(G14-D14)/G14)</f>
        <v/>
      </c>
      <c r="I14" s="51">
        <f>IF(OR(H14="",E14=""),"",IF(H14&lt;E14,"NÍZKA","OK"))</f>
        <v/>
      </c>
    </row>
    <row r="15" ht="19" customHeight="1">
      <c r="B15" s="52" t="inlineStr"/>
      <c r="C15" s="53" t="inlineStr"/>
      <c r="D15" s="47" t="n"/>
      <c r="E15" s="48" t="n"/>
      <c r="F15" s="49">
        <f>IF(OR(D15="",E15=""),"",D15/(1-E15))</f>
        <v/>
      </c>
      <c r="G15" s="47" t="n"/>
      <c r="H15" s="50">
        <f>IF(OR(G15="",D15=""),"",(G15-D15)/G15)</f>
        <v/>
      </c>
      <c r="I15" s="54">
        <f>IF(OR(H15="",E15=""),"",IF(H15&lt;E15,"NÍZKA","OK"))</f>
        <v/>
      </c>
    </row>
    <row r="16" ht="19" customHeight="1">
      <c r="B16" s="45" t="inlineStr"/>
      <c r="C16" s="46" t="inlineStr"/>
      <c r="D16" s="47" t="n"/>
      <c r="E16" s="48" t="n"/>
      <c r="F16" s="49">
        <f>IF(OR(D16="",E16=""),"",D16/(1-E16))</f>
        <v/>
      </c>
      <c r="G16" s="47" t="n"/>
      <c r="H16" s="50">
        <f>IF(OR(G16="",D16=""),"",(G16-D16)/G16)</f>
        <v/>
      </c>
      <c r="I16" s="51">
        <f>IF(OR(H16="",E16=""),"",IF(H16&lt;E16,"NÍZKA","OK"))</f>
        <v/>
      </c>
    </row>
    <row r="17" ht="19" customHeight="1">
      <c r="B17" s="52" t="inlineStr"/>
      <c r="C17" s="53" t="inlineStr"/>
      <c r="D17" s="47" t="n"/>
      <c r="E17" s="48" t="n"/>
      <c r="F17" s="49">
        <f>IF(OR(D17="",E17=""),"",D17/(1-E17))</f>
        <v/>
      </c>
      <c r="G17" s="47" t="n"/>
      <c r="H17" s="50">
        <f>IF(OR(G17="",D17=""),"",(G17-D17)/G17)</f>
        <v/>
      </c>
      <c r="I17" s="54">
        <f>IF(OR(H17="",E17=""),"",IF(H17&lt;E17,"NÍZKA","OK"))</f>
        <v/>
      </c>
    </row>
    <row r="18" ht="19" customHeight="1">
      <c r="B18" s="45" t="inlineStr"/>
      <c r="C18" s="46" t="inlineStr"/>
      <c r="D18" s="47" t="n"/>
      <c r="E18" s="48" t="n"/>
      <c r="F18" s="49">
        <f>IF(OR(D18="",E18=""),"",D18/(1-E18))</f>
        <v/>
      </c>
      <c r="G18" s="47" t="n"/>
      <c r="H18" s="50">
        <f>IF(OR(G18="",D18=""),"",(G18-D18)/G18)</f>
        <v/>
      </c>
      <c r="I18" s="51">
        <f>IF(OR(H18="",E18=""),"",IF(H18&lt;E18,"NÍZKA","OK"))</f>
        <v/>
      </c>
    </row>
    <row r="19" ht="19" customHeight="1">
      <c r="B19" s="52" t="inlineStr"/>
      <c r="C19" s="53" t="inlineStr"/>
      <c r="D19" s="47" t="n"/>
      <c r="E19" s="48" t="n"/>
      <c r="F19" s="49">
        <f>IF(OR(D19="",E19=""),"",D19/(1-E19))</f>
        <v/>
      </c>
      <c r="G19" s="47" t="n"/>
      <c r="H19" s="50">
        <f>IF(OR(G19="",D19=""),"",(G19-D19)/G19)</f>
        <v/>
      </c>
      <c r="I19" s="54">
        <f>IF(OR(H19="",E19=""),"",IF(H19&lt;E19,"NÍZKA","OK"))</f>
        <v/>
      </c>
    </row>
    <row r="20" ht="19" customHeight="1">
      <c r="B20" s="45" t="inlineStr"/>
      <c r="C20" s="46" t="inlineStr"/>
      <c r="D20" s="47" t="n"/>
      <c r="E20" s="48" t="n"/>
      <c r="F20" s="49">
        <f>IF(OR(D20="",E20=""),"",D20/(1-E20))</f>
        <v/>
      </c>
      <c r="G20" s="47" t="n"/>
      <c r="H20" s="50">
        <f>IF(OR(G20="",D20=""),"",(G20-D20)/G20)</f>
        <v/>
      </c>
      <c r="I20" s="51">
        <f>IF(OR(H20="",E20=""),"",IF(H20&lt;E20,"NÍZKA","OK"))</f>
        <v/>
      </c>
    </row>
    <row r="21" ht="19" customHeight="1">
      <c r="B21" s="52" t="inlineStr"/>
      <c r="C21" s="53" t="inlineStr"/>
      <c r="D21" s="47" t="n"/>
      <c r="E21" s="48" t="n"/>
      <c r="F21" s="49">
        <f>IF(OR(D21="",E21=""),"",D21/(1-E21))</f>
        <v/>
      </c>
      <c r="G21" s="47" t="n"/>
      <c r="H21" s="50">
        <f>IF(OR(G21="",D21=""),"",(G21-D21)/G21)</f>
        <v/>
      </c>
      <c r="I21" s="54">
        <f>IF(OR(H21="",E21=""),"",IF(H21&lt;E21,"NÍZKA","OK"))</f>
        <v/>
      </c>
    </row>
    <row r="22" ht="19" customHeight="1">
      <c r="B22" s="45" t="inlineStr"/>
      <c r="C22" s="46" t="inlineStr"/>
      <c r="D22" s="47" t="n"/>
      <c r="E22" s="48" t="n"/>
      <c r="F22" s="49">
        <f>IF(OR(D22="",E22=""),"",D22/(1-E22))</f>
        <v/>
      </c>
      <c r="G22" s="47" t="n"/>
      <c r="H22" s="50">
        <f>IF(OR(G22="",D22=""),"",(G22-D22)/G22)</f>
        <v/>
      </c>
      <c r="I22" s="51">
        <f>IF(OR(H22="",E22=""),"",IF(H22&lt;E22,"NÍZKA","OK"))</f>
        <v/>
      </c>
    </row>
    <row r="23" ht="19" customHeight="1">
      <c r="B23" s="52" t="inlineStr"/>
      <c r="C23" s="53" t="inlineStr"/>
      <c r="D23" s="47" t="n"/>
      <c r="E23" s="48" t="n"/>
      <c r="F23" s="49">
        <f>IF(OR(D23="",E23=""),"",D23/(1-E23))</f>
        <v/>
      </c>
      <c r="G23" s="47" t="n"/>
      <c r="H23" s="50">
        <f>IF(OR(G23="",D23=""),"",(G23-D23)/G23)</f>
        <v/>
      </c>
      <c r="I23" s="54">
        <f>IF(OR(H23="",E23=""),"",IF(H23&lt;E23,"NÍZKA","OK"))</f>
        <v/>
      </c>
    </row>
    <row r="24" ht="19" customHeight="1">
      <c r="B24" s="45" t="inlineStr"/>
      <c r="C24" s="46" t="inlineStr"/>
      <c r="D24" s="47" t="n"/>
      <c r="E24" s="48" t="n"/>
      <c r="F24" s="49">
        <f>IF(OR(D24="",E24=""),"",D24/(1-E24))</f>
        <v/>
      </c>
      <c r="G24" s="47" t="n"/>
      <c r="H24" s="50">
        <f>IF(OR(G24="",D24=""),"",(G24-D24)/G24)</f>
        <v/>
      </c>
      <c r="I24" s="51">
        <f>IF(OR(H24="",E24=""),"",IF(H24&lt;E24,"NÍZKA","OK"))</f>
        <v/>
      </c>
    </row>
    <row r="25" ht="19" customHeight="1">
      <c r="B25" s="52" t="inlineStr"/>
      <c r="C25" s="53" t="inlineStr"/>
      <c r="D25" s="47" t="n"/>
      <c r="E25" s="48" t="n"/>
      <c r="F25" s="49">
        <f>IF(OR(D25="",E25=""),"",D25/(1-E25))</f>
        <v/>
      </c>
      <c r="G25" s="47" t="n"/>
      <c r="H25" s="50">
        <f>IF(OR(G25="",D25=""),"",(G25-D25)/G25)</f>
        <v/>
      </c>
      <c r="I25" s="54">
        <f>IF(OR(H25="",E25=""),"",IF(H25&lt;E25,"NÍZKA","OK"))</f>
        <v/>
      </c>
    </row>
    <row r="26" ht="19" customHeight="1">
      <c r="B26" s="45" t="inlineStr"/>
      <c r="C26" s="46" t="inlineStr"/>
      <c r="D26" s="47" t="n"/>
      <c r="E26" s="48" t="n"/>
      <c r="F26" s="49">
        <f>IF(OR(D26="",E26=""),"",D26/(1-E26))</f>
        <v/>
      </c>
      <c r="G26" s="47" t="n"/>
      <c r="H26" s="50">
        <f>IF(OR(G26="",D26=""),"",(G26-D26)/G26)</f>
        <v/>
      </c>
      <c r="I26" s="51">
        <f>IF(OR(H26="",E26=""),"",IF(H26&lt;E26,"NÍZKA","OK"))</f>
        <v/>
      </c>
    </row>
    <row r="27" ht="19" customHeight="1">
      <c r="B27" s="52" t="inlineStr"/>
      <c r="C27" s="53" t="inlineStr"/>
      <c r="D27" s="47" t="n"/>
      <c r="E27" s="48" t="n"/>
      <c r="F27" s="49">
        <f>IF(OR(D27="",E27=""),"",D27/(1-E27))</f>
        <v/>
      </c>
      <c r="G27" s="47" t="n"/>
      <c r="H27" s="50">
        <f>IF(OR(G27="",D27=""),"",(G27-D27)/G27)</f>
        <v/>
      </c>
      <c r="I27" s="54">
        <f>IF(OR(H27="",E27=""),"",IF(H27&lt;E27,"NÍZKA","OK"))</f>
        <v/>
      </c>
    </row>
    <row r="28" ht="19" customHeight="1">
      <c r="B28" s="45" t="inlineStr"/>
      <c r="C28" s="46" t="inlineStr"/>
      <c r="D28" s="47" t="n"/>
      <c r="E28" s="48" t="n"/>
      <c r="F28" s="49">
        <f>IF(OR(D28="",E28=""),"",D28/(1-E28))</f>
        <v/>
      </c>
      <c r="G28" s="47" t="n"/>
      <c r="H28" s="50">
        <f>IF(OR(G28="",D28=""),"",(G28-D28)/G28)</f>
        <v/>
      </c>
      <c r="I28" s="51">
        <f>IF(OR(H28="",E28=""),"",IF(H28&lt;E28,"NÍZKA","OK"))</f>
        <v/>
      </c>
    </row>
    <row r="29" ht="19" customHeight="1">
      <c r="B29" s="52" t="inlineStr"/>
      <c r="C29" s="53" t="inlineStr"/>
      <c r="D29" s="47" t="n"/>
      <c r="E29" s="48" t="n"/>
      <c r="F29" s="49">
        <f>IF(OR(D29="",E29=""),"",D29/(1-E29))</f>
        <v/>
      </c>
      <c r="G29" s="47" t="n"/>
      <c r="H29" s="50">
        <f>IF(OR(G29="",D29=""),"",(G29-D29)/G29)</f>
        <v/>
      </c>
      <c r="I29" s="54">
        <f>IF(OR(H29="",E29=""),"",IF(H29&lt;E29,"NÍZKA","OK"))</f>
        <v/>
      </c>
    </row>
    <row r="30">
      <c r="B30" s="55" t="inlineStr">
        <is>
          <t>Priemerná reálna marža</t>
        </is>
      </c>
      <c r="H30" s="56">
        <f>IFERROR(AVERAGEIF(H8:H29,"&lt;&gt;",H8:H29),0)</f>
        <v/>
      </c>
    </row>
    <row r="31">
      <c r="B31" s="55" t="inlineStr">
        <is>
          <t>Položky pod cieľom</t>
        </is>
      </c>
      <c r="H31" s="57">
        <f>COUNTIF(I8:I29,"NÍZKA")</f>
        <v/>
      </c>
    </row>
  </sheetData>
  <mergeCells count="4">
    <mergeCell ref="B1:I1"/>
    <mergeCell ref="B2:I2"/>
    <mergeCell ref="B6:I6"/>
    <mergeCell ref="C5:E5"/>
  </mergeCells>
  <conditionalFormatting sqref="I8:I29">
    <cfRule type="cellIs" priority="1" operator="equal" dxfId="1">
      <formula>"NÍZKA"</formula>
    </cfRule>
    <cfRule type="cellIs" priority="2" operator="equal" dxfId="2">
      <formula>"OK"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D6CDF"/>
    <outlinePr summaryBelow="1" summaryRight="1"/>
    <pageSetUpPr/>
  </sheetPr>
  <dimension ref="B1:I27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6" customWidth="1" min="2" max="2"/>
    <col width="11" customWidth="1" min="3" max="3"/>
    <col width="13" customWidth="1" min="4" max="4"/>
    <col width="13" customWidth="1" min="5" max="5"/>
    <col width="13" customWidth="1" min="6" max="6"/>
    <col width="14" customWidth="1" min="7" max="7"/>
    <col width="13" customWidth="1" min="8" max="8"/>
    <col width="15" customWidth="1" min="9" max="9"/>
  </cols>
  <sheetData>
    <row r="1" ht="38" customHeight="1">
      <c r="B1" s="1" t="inlineStr">
        <is>
          <t>Zásoby a straty</t>
        </is>
      </c>
    </row>
    <row r="2" ht="20" customHeight="1">
      <c r="B2" s="2" t="inlineStr">
        <is>
          <t>Počiatočné + nákup − koncové = spotreba; hodnota strát ukáže únik marže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Obdobie</t>
        </is>
      </c>
      <c r="C6" s="12" t="n"/>
    </row>
    <row r="7" ht="30" customHeight="1">
      <c r="B7" s="9" t="inlineStr">
        <is>
          <t xml:space="preserve">  Hodnota strát sa počíta automaticky. Vysoké straty sa zvýraznia — konajte pri úniku a prelievaní.</t>
        </is>
      </c>
    </row>
    <row r="8" ht="30" customHeight="1">
      <c r="B8" s="15" t="inlineStr">
        <is>
          <t>Položka</t>
        </is>
      </c>
      <c r="C8" s="15" t="inlineStr">
        <is>
          <t>Jedn.</t>
        </is>
      </c>
      <c r="D8" s="15" t="inlineStr">
        <is>
          <t>Počiatočné</t>
        </is>
      </c>
      <c r="E8" s="15" t="inlineStr">
        <is>
          <t>Nákup</t>
        </is>
      </c>
      <c r="F8" s="15" t="inlineStr">
        <is>
          <t>Koncové</t>
        </is>
      </c>
      <c r="G8" s="15" t="inlineStr">
        <is>
          <t>Straty (množ.)</t>
        </is>
      </c>
      <c r="H8" s="15" t="inlineStr">
        <is>
          <t>Cena/jedn. €</t>
        </is>
      </c>
      <c r="I8" s="15" t="inlineStr">
        <is>
          <t>Hodnota strát €</t>
        </is>
      </c>
    </row>
    <row r="9" ht="19" customHeight="1">
      <c r="B9" s="45" t="inlineStr">
        <is>
          <t>Čapované pivo</t>
        </is>
      </c>
      <c r="C9" s="46" t="inlineStr">
        <is>
          <t>L</t>
        </is>
      </c>
      <c r="D9" s="18" t="n">
        <v>80</v>
      </c>
      <c r="E9" s="18" t="n">
        <v>220</v>
      </c>
      <c r="F9" s="18" t="n">
        <v>60</v>
      </c>
      <c r="G9" s="18" t="n">
        <v>4</v>
      </c>
      <c r="H9" s="47" t="n">
        <v>4</v>
      </c>
      <c r="I9" s="49">
        <f>IF(OR(G9="",H9=""),"",G9*H9)</f>
        <v/>
      </c>
    </row>
    <row r="10" ht="19" customHeight="1">
      <c r="B10" s="52" t="inlineStr">
        <is>
          <t>Domáce červené víno</t>
        </is>
      </c>
      <c r="C10" s="53" t="inlineStr">
        <is>
          <t>fľaša</t>
        </is>
      </c>
      <c r="D10" s="18" t="n">
        <v>24</v>
      </c>
      <c r="E10" s="18" t="n">
        <v>60</v>
      </c>
      <c r="F10" s="18" t="n">
        <v>30</v>
      </c>
      <c r="G10" s="18" t="n">
        <v>1</v>
      </c>
      <c r="H10" s="47" t="n">
        <v>1</v>
      </c>
      <c r="I10" s="49">
        <f>IF(OR(G10="",H10=""),"",G10*H10)</f>
        <v/>
      </c>
    </row>
    <row r="11" ht="19" customHeight="1">
      <c r="B11" s="45" t="inlineStr">
        <is>
          <t>Čerstvé ryby</t>
        </is>
      </c>
      <c r="C11" s="46" t="inlineStr">
        <is>
          <t>kg</t>
        </is>
      </c>
      <c r="D11" s="18" t="n">
        <v>5</v>
      </c>
      <c r="E11" s="18" t="n">
        <v>30</v>
      </c>
      <c r="F11" s="18" t="n">
        <v>2</v>
      </c>
      <c r="G11" s="18" t="n">
        <v>1.5</v>
      </c>
      <c r="H11" s="47" t="n">
        <v>1.5</v>
      </c>
      <c r="I11" s="49">
        <f>IF(OR(G11="",H11=""),"",G11*H11)</f>
        <v/>
      </c>
    </row>
    <row r="12" ht="19" customHeight="1">
      <c r="B12" s="52" t="inlineStr">
        <is>
          <t>Rib-eye steak</t>
        </is>
      </c>
      <c r="C12" s="53" t="inlineStr">
        <is>
          <t>kg</t>
        </is>
      </c>
      <c r="D12" s="18" t="n">
        <v>8</v>
      </c>
      <c r="E12" s="18" t="n">
        <v>25</v>
      </c>
      <c r="F12" s="18" t="n">
        <v>6</v>
      </c>
      <c r="G12" s="18" t="n">
        <v>0.5</v>
      </c>
      <c r="H12" s="47" t="n">
        <v>0.5</v>
      </c>
      <c r="I12" s="49">
        <f>IF(OR(G12="",H12=""),"",G12*H12)</f>
        <v/>
      </c>
    </row>
    <row r="13" ht="19" customHeight="1">
      <c r="B13" s="45" t="inlineStr">
        <is>
          <t>Mlieko</t>
        </is>
      </c>
      <c r="C13" s="46" t="inlineStr">
        <is>
          <t>L</t>
        </is>
      </c>
      <c r="D13" s="18" t="n">
        <v>20</v>
      </c>
      <c r="E13" s="18" t="n">
        <v>120</v>
      </c>
      <c r="F13" s="18" t="n">
        <v>25</v>
      </c>
      <c r="G13" s="18" t="n">
        <v>3</v>
      </c>
      <c r="H13" s="47" t="n">
        <v>3</v>
      </c>
      <c r="I13" s="49">
        <f>IF(OR(G13="",H13=""),"",G13*H13)</f>
        <v/>
      </c>
    </row>
    <row r="14" ht="19" customHeight="1">
      <c r="B14" s="52" t="inlineStr"/>
      <c r="C14" s="53" t="inlineStr"/>
      <c r="D14" s="18" t="n"/>
      <c r="E14" s="18" t="n"/>
      <c r="F14" s="18" t="n"/>
      <c r="G14" s="18" t="n"/>
      <c r="H14" s="47" t="n"/>
      <c r="I14" s="49">
        <f>IF(OR(G14="",H14=""),"",G14*H14)</f>
        <v/>
      </c>
    </row>
    <row r="15" ht="19" customHeight="1">
      <c r="B15" s="45" t="inlineStr"/>
      <c r="C15" s="46" t="inlineStr"/>
      <c r="D15" s="18" t="n"/>
      <c r="E15" s="18" t="n"/>
      <c r="F15" s="18" t="n"/>
      <c r="G15" s="18" t="n"/>
      <c r="H15" s="47" t="n"/>
      <c r="I15" s="49">
        <f>IF(OR(G15="",H15=""),"",G15*H15)</f>
        <v/>
      </c>
    </row>
    <row r="16" ht="19" customHeight="1">
      <c r="B16" s="52" t="inlineStr"/>
      <c r="C16" s="53" t="inlineStr"/>
      <c r="D16" s="18" t="n"/>
      <c r="E16" s="18" t="n"/>
      <c r="F16" s="18" t="n"/>
      <c r="G16" s="18" t="n"/>
      <c r="H16" s="47" t="n"/>
      <c r="I16" s="49">
        <f>IF(OR(G16="",H16=""),"",G16*H16)</f>
        <v/>
      </c>
    </row>
    <row r="17" ht="19" customHeight="1">
      <c r="B17" s="45" t="inlineStr"/>
      <c r="C17" s="46" t="inlineStr"/>
      <c r="D17" s="18" t="n"/>
      <c r="E17" s="18" t="n"/>
      <c r="F17" s="18" t="n"/>
      <c r="G17" s="18" t="n"/>
      <c r="H17" s="47" t="n"/>
      <c r="I17" s="49">
        <f>IF(OR(G17="",H17=""),"",G17*H17)</f>
        <v/>
      </c>
    </row>
    <row r="18" ht="19" customHeight="1">
      <c r="B18" s="52" t="inlineStr"/>
      <c r="C18" s="53" t="inlineStr"/>
      <c r="D18" s="18" t="n"/>
      <c r="E18" s="18" t="n"/>
      <c r="F18" s="18" t="n"/>
      <c r="G18" s="18" t="n"/>
      <c r="H18" s="47" t="n"/>
      <c r="I18" s="49">
        <f>IF(OR(G18="",H18=""),"",G18*H18)</f>
        <v/>
      </c>
    </row>
    <row r="19" ht="19" customHeight="1">
      <c r="B19" s="45" t="inlineStr"/>
      <c r="C19" s="46" t="inlineStr"/>
      <c r="D19" s="18" t="n"/>
      <c r="E19" s="18" t="n"/>
      <c r="F19" s="18" t="n"/>
      <c r="G19" s="18" t="n"/>
      <c r="H19" s="47" t="n"/>
      <c r="I19" s="49">
        <f>IF(OR(G19="",H19=""),"",G19*H19)</f>
        <v/>
      </c>
    </row>
    <row r="20" ht="19" customHeight="1">
      <c r="B20" s="52" t="inlineStr"/>
      <c r="C20" s="53" t="inlineStr"/>
      <c r="D20" s="18" t="n"/>
      <c r="E20" s="18" t="n"/>
      <c r="F20" s="18" t="n"/>
      <c r="G20" s="18" t="n"/>
      <c r="H20" s="47" t="n"/>
      <c r="I20" s="49">
        <f>IF(OR(G20="",H20=""),"",G20*H20)</f>
        <v/>
      </c>
    </row>
    <row r="21" ht="19" customHeight="1">
      <c r="B21" s="45" t="inlineStr"/>
      <c r="C21" s="46" t="inlineStr"/>
      <c r="D21" s="18" t="n"/>
      <c r="E21" s="18" t="n"/>
      <c r="F21" s="18" t="n"/>
      <c r="G21" s="18" t="n"/>
      <c r="H21" s="47" t="n"/>
      <c r="I21" s="49">
        <f>IF(OR(G21="",H21=""),"",G21*H21)</f>
        <v/>
      </c>
    </row>
    <row r="22" ht="19" customHeight="1">
      <c r="B22" s="52" t="inlineStr"/>
      <c r="C22" s="53" t="inlineStr"/>
      <c r="D22" s="18" t="n"/>
      <c r="E22" s="18" t="n"/>
      <c r="F22" s="18" t="n"/>
      <c r="G22" s="18" t="n"/>
      <c r="H22" s="47" t="n"/>
      <c r="I22" s="49">
        <f>IF(OR(G22="",H22=""),"",G22*H22)</f>
        <v/>
      </c>
    </row>
    <row r="23" ht="19" customHeight="1">
      <c r="B23" s="45" t="inlineStr"/>
      <c r="C23" s="46" t="inlineStr"/>
      <c r="D23" s="18" t="n"/>
      <c r="E23" s="18" t="n"/>
      <c r="F23" s="18" t="n"/>
      <c r="G23" s="18" t="n"/>
      <c r="H23" s="47" t="n"/>
      <c r="I23" s="49">
        <f>IF(OR(G23="",H23=""),"",G23*H23)</f>
        <v/>
      </c>
    </row>
    <row r="24" ht="19" customHeight="1">
      <c r="B24" s="52" t="inlineStr"/>
      <c r="C24" s="53" t="inlineStr"/>
      <c r="D24" s="18" t="n"/>
      <c r="E24" s="18" t="n"/>
      <c r="F24" s="18" t="n"/>
      <c r="G24" s="18" t="n"/>
      <c r="H24" s="47" t="n"/>
      <c r="I24" s="49">
        <f>IF(OR(G24="",H24=""),"",G24*H24)</f>
        <v/>
      </c>
    </row>
    <row r="25" ht="19" customHeight="1">
      <c r="B25" s="45" t="inlineStr"/>
      <c r="C25" s="46" t="inlineStr"/>
      <c r="D25" s="18" t="n"/>
      <c r="E25" s="18" t="n"/>
      <c r="F25" s="18" t="n"/>
      <c r="G25" s="18" t="n"/>
      <c r="H25" s="47" t="n"/>
      <c r="I25" s="49">
        <f>IF(OR(G25="",H25=""),"",G25*H25)</f>
        <v/>
      </c>
    </row>
    <row r="26" ht="19" customHeight="1">
      <c r="B26" s="52" t="inlineStr"/>
      <c r="C26" s="53" t="inlineStr"/>
      <c r="D26" s="18" t="n"/>
      <c r="E26" s="18" t="n"/>
      <c r="F26" s="18" t="n"/>
      <c r="G26" s="18" t="n"/>
      <c r="H26" s="47" t="n"/>
      <c r="I26" s="49">
        <f>IF(OR(G26="",H26=""),"",G26*H26)</f>
        <v/>
      </c>
    </row>
    <row r="27">
      <c r="B27" s="55" t="inlineStr">
        <is>
          <t>Hodnota strát spolu</t>
        </is>
      </c>
      <c r="I27" s="42">
        <f>SUM(I9:I26)</f>
        <v/>
      </c>
    </row>
  </sheetData>
  <mergeCells count="5">
    <mergeCell ref="C6:D6"/>
    <mergeCell ref="C5:E5"/>
    <mergeCell ref="B7:I7"/>
    <mergeCell ref="B2:I2"/>
    <mergeCell ref="B1:I1"/>
  </mergeCells>
  <conditionalFormatting sqref="I9:I26">
    <cfRule type="cellIs" priority="1" operator="greaterThan" dxfId="1">
      <formula>50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5A38C"/>
    <outlinePr summaryBelow="1" summaryRight="1"/>
    <pageSetUpPr/>
  </sheetPr>
  <dimension ref="B1:I31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2" customWidth="1" min="2" max="2"/>
    <col width="16" customWidth="1" min="3" max="3"/>
    <col width="11" customWidth="1" min="4" max="4"/>
    <col width="10" customWidth="1" min="5" max="5"/>
    <col width="10" customWidth="1" min="6" max="6"/>
    <col width="12" customWidth="1" min="7" max="7"/>
    <col width="14" customWidth="1" min="8" max="8"/>
    <col width="14" customWidth="1" min="9" max="9"/>
  </cols>
  <sheetData>
    <row r="1" ht="38" customHeight="1">
      <c r="B1" s="1" t="inlineStr">
        <is>
          <t>Zmeny a mzdové náklady</t>
        </is>
      </c>
    </row>
    <row r="2" ht="20" customHeight="1">
      <c r="B2" s="2" t="inlineStr">
        <is>
          <t>Naplánujte zmeny a hneď vidíte podiel mzdových nákladov na tržbách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Týždeň od</t>
        </is>
      </c>
      <c r="C6" s="12" t="n"/>
    </row>
    <row r="7" ht="20" customHeight="1">
      <c r="B7" s="11" t="inlineStr">
        <is>
          <t>Plán tržieb €</t>
        </is>
      </c>
      <c r="C7" s="41" t="n"/>
    </row>
    <row r="8" ht="30" customHeight="1">
      <c r="B8" s="9" t="inlineStr">
        <is>
          <t xml:space="preserve">  Zadajte hodiny a sadzbu. Náklad = hodiny × sadzba. Cieľ pre gastro býva 25–35 % tržieb.</t>
        </is>
      </c>
    </row>
    <row r="9" ht="30" customHeight="1">
      <c r="B9" s="15" t="inlineStr">
        <is>
          <t>Zamestnanec</t>
        </is>
      </c>
      <c r="C9" s="15" t="inlineStr">
        <is>
          <t>Pozícia</t>
        </is>
      </c>
      <c r="D9" s="15" t="inlineStr">
        <is>
          <t>Deň</t>
        </is>
      </c>
      <c r="E9" s="15" t="inlineStr">
        <is>
          <t>Od</t>
        </is>
      </c>
      <c r="F9" s="15" t="inlineStr">
        <is>
          <t>Do</t>
        </is>
      </c>
      <c r="G9" s="15" t="inlineStr">
        <is>
          <t>Hodiny</t>
        </is>
      </c>
      <c r="H9" s="15" t="inlineStr">
        <is>
          <t>Sadzba €/h</t>
        </is>
      </c>
      <c r="I9" s="15" t="inlineStr">
        <is>
          <t>Náklad €</t>
        </is>
      </c>
    </row>
    <row r="10" ht="19" customHeight="1">
      <c r="B10" s="58" t="n"/>
      <c r="C10" s="18" t="n"/>
      <c r="D10" s="18" t="n"/>
      <c r="E10" s="18" t="n"/>
      <c r="F10" s="18" t="n"/>
      <c r="G10" s="18" t="n"/>
      <c r="H10" s="47" t="n"/>
      <c r="I10" s="49">
        <f>IF(OR(G10="",H10=""),"",G10*H10)</f>
        <v/>
      </c>
    </row>
    <row r="11" ht="19" customHeight="1">
      <c r="B11" s="58" t="n"/>
      <c r="C11" s="18" t="n"/>
      <c r="D11" s="18" t="n"/>
      <c r="E11" s="18" t="n"/>
      <c r="F11" s="18" t="n"/>
      <c r="G11" s="18" t="n"/>
      <c r="H11" s="47" t="n"/>
      <c r="I11" s="49">
        <f>IF(OR(G11="",H11=""),"",G11*H11)</f>
        <v/>
      </c>
    </row>
    <row r="12" ht="19" customHeight="1">
      <c r="B12" s="58" t="n"/>
      <c r="C12" s="18" t="n"/>
      <c r="D12" s="18" t="n"/>
      <c r="E12" s="18" t="n"/>
      <c r="F12" s="18" t="n"/>
      <c r="G12" s="18" t="n"/>
      <c r="H12" s="47" t="n"/>
      <c r="I12" s="49">
        <f>IF(OR(G12="",H12=""),"",G12*H12)</f>
        <v/>
      </c>
    </row>
    <row r="13" ht="19" customHeight="1">
      <c r="B13" s="58" t="n"/>
      <c r="C13" s="18" t="n"/>
      <c r="D13" s="18" t="n"/>
      <c r="E13" s="18" t="n"/>
      <c r="F13" s="18" t="n"/>
      <c r="G13" s="18" t="n"/>
      <c r="H13" s="47" t="n"/>
      <c r="I13" s="49">
        <f>IF(OR(G13="",H13=""),"",G13*H13)</f>
        <v/>
      </c>
    </row>
    <row r="14" ht="19" customHeight="1">
      <c r="B14" s="58" t="n"/>
      <c r="C14" s="18" t="n"/>
      <c r="D14" s="18" t="n"/>
      <c r="E14" s="18" t="n"/>
      <c r="F14" s="18" t="n"/>
      <c r="G14" s="18" t="n"/>
      <c r="H14" s="47" t="n"/>
      <c r="I14" s="49">
        <f>IF(OR(G14="",H14=""),"",G14*H14)</f>
        <v/>
      </c>
    </row>
    <row r="15" ht="19" customHeight="1">
      <c r="B15" s="58" t="n"/>
      <c r="C15" s="18" t="n"/>
      <c r="D15" s="18" t="n"/>
      <c r="E15" s="18" t="n"/>
      <c r="F15" s="18" t="n"/>
      <c r="G15" s="18" t="n"/>
      <c r="H15" s="47" t="n"/>
      <c r="I15" s="49">
        <f>IF(OR(G15="",H15=""),"",G15*H15)</f>
        <v/>
      </c>
    </row>
    <row r="16" ht="19" customHeight="1">
      <c r="B16" s="58" t="n"/>
      <c r="C16" s="18" t="n"/>
      <c r="D16" s="18" t="n"/>
      <c r="E16" s="18" t="n"/>
      <c r="F16" s="18" t="n"/>
      <c r="G16" s="18" t="n"/>
      <c r="H16" s="47" t="n"/>
      <c r="I16" s="49">
        <f>IF(OR(G16="",H16=""),"",G16*H16)</f>
        <v/>
      </c>
    </row>
    <row r="17" ht="19" customHeight="1">
      <c r="B17" s="58" t="n"/>
      <c r="C17" s="18" t="n"/>
      <c r="D17" s="18" t="n"/>
      <c r="E17" s="18" t="n"/>
      <c r="F17" s="18" t="n"/>
      <c r="G17" s="18" t="n"/>
      <c r="H17" s="47" t="n"/>
      <c r="I17" s="49">
        <f>IF(OR(G17="",H17=""),"",G17*H17)</f>
        <v/>
      </c>
    </row>
    <row r="18" ht="19" customHeight="1">
      <c r="B18" s="58" t="n"/>
      <c r="C18" s="18" t="n"/>
      <c r="D18" s="18" t="n"/>
      <c r="E18" s="18" t="n"/>
      <c r="F18" s="18" t="n"/>
      <c r="G18" s="18" t="n"/>
      <c r="H18" s="47" t="n"/>
      <c r="I18" s="49">
        <f>IF(OR(G18="",H18=""),"",G18*H18)</f>
        <v/>
      </c>
    </row>
    <row r="19" ht="19" customHeight="1">
      <c r="B19" s="58" t="n"/>
      <c r="C19" s="18" t="n"/>
      <c r="D19" s="18" t="n"/>
      <c r="E19" s="18" t="n"/>
      <c r="F19" s="18" t="n"/>
      <c r="G19" s="18" t="n"/>
      <c r="H19" s="47" t="n"/>
      <c r="I19" s="49">
        <f>IF(OR(G19="",H19=""),"",G19*H19)</f>
        <v/>
      </c>
    </row>
    <row r="20" ht="19" customHeight="1">
      <c r="B20" s="58" t="n"/>
      <c r="C20" s="18" t="n"/>
      <c r="D20" s="18" t="n"/>
      <c r="E20" s="18" t="n"/>
      <c r="F20" s="18" t="n"/>
      <c r="G20" s="18" t="n"/>
      <c r="H20" s="47" t="n"/>
      <c r="I20" s="49">
        <f>IF(OR(G20="",H20=""),"",G20*H20)</f>
        <v/>
      </c>
    </row>
    <row r="21" ht="19" customHeight="1">
      <c r="B21" s="58" t="n"/>
      <c r="C21" s="18" t="n"/>
      <c r="D21" s="18" t="n"/>
      <c r="E21" s="18" t="n"/>
      <c r="F21" s="18" t="n"/>
      <c r="G21" s="18" t="n"/>
      <c r="H21" s="47" t="n"/>
      <c r="I21" s="49">
        <f>IF(OR(G21="",H21=""),"",G21*H21)</f>
        <v/>
      </c>
    </row>
    <row r="22" ht="19" customHeight="1">
      <c r="B22" s="58" t="n"/>
      <c r="C22" s="18" t="n"/>
      <c r="D22" s="18" t="n"/>
      <c r="E22" s="18" t="n"/>
      <c r="F22" s="18" t="n"/>
      <c r="G22" s="18" t="n"/>
      <c r="H22" s="47" t="n"/>
      <c r="I22" s="49">
        <f>IF(OR(G22="",H22=""),"",G22*H22)</f>
        <v/>
      </c>
    </row>
    <row r="23" ht="19" customHeight="1">
      <c r="B23" s="58" t="n"/>
      <c r="C23" s="18" t="n"/>
      <c r="D23" s="18" t="n"/>
      <c r="E23" s="18" t="n"/>
      <c r="F23" s="18" t="n"/>
      <c r="G23" s="18" t="n"/>
      <c r="H23" s="47" t="n"/>
      <c r="I23" s="49">
        <f>IF(OR(G23="",H23=""),"",G23*H23)</f>
        <v/>
      </c>
    </row>
    <row r="24" ht="19" customHeight="1">
      <c r="B24" s="58" t="n"/>
      <c r="C24" s="18" t="n"/>
      <c r="D24" s="18" t="n"/>
      <c r="E24" s="18" t="n"/>
      <c r="F24" s="18" t="n"/>
      <c r="G24" s="18" t="n"/>
      <c r="H24" s="47" t="n"/>
      <c r="I24" s="49">
        <f>IF(OR(G24="",H24=""),"",G24*H24)</f>
        <v/>
      </c>
    </row>
    <row r="25" ht="19" customHeight="1">
      <c r="B25" s="58" t="n"/>
      <c r="C25" s="18" t="n"/>
      <c r="D25" s="18" t="n"/>
      <c r="E25" s="18" t="n"/>
      <c r="F25" s="18" t="n"/>
      <c r="G25" s="18" t="n"/>
      <c r="H25" s="47" t="n"/>
      <c r="I25" s="49">
        <f>IF(OR(G25="",H25=""),"",G25*H25)</f>
        <v/>
      </c>
    </row>
    <row r="26" ht="19" customHeight="1">
      <c r="B26" s="58" t="n"/>
      <c r="C26" s="18" t="n"/>
      <c r="D26" s="18" t="n"/>
      <c r="E26" s="18" t="n"/>
      <c r="F26" s="18" t="n"/>
      <c r="G26" s="18" t="n"/>
      <c r="H26" s="47" t="n"/>
      <c r="I26" s="49">
        <f>IF(OR(G26="",H26=""),"",G26*H26)</f>
        <v/>
      </c>
    </row>
    <row r="27" ht="19" customHeight="1">
      <c r="B27" s="58" t="n"/>
      <c r="C27" s="18" t="n"/>
      <c r="D27" s="18" t="n"/>
      <c r="E27" s="18" t="n"/>
      <c r="F27" s="18" t="n"/>
      <c r="G27" s="18" t="n"/>
      <c r="H27" s="47" t="n"/>
      <c r="I27" s="49">
        <f>IF(OR(G27="",H27=""),"",G27*H27)</f>
        <v/>
      </c>
    </row>
    <row r="28" ht="19" customHeight="1">
      <c r="B28" s="58" t="n"/>
      <c r="C28" s="18" t="n"/>
      <c r="D28" s="18" t="n"/>
      <c r="E28" s="18" t="n"/>
      <c r="F28" s="18" t="n"/>
      <c r="G28" s="18" t="n"/>
      <c r="H28" s="47" t="n"/>
      <c r="I28" s="49">
        <f>IF(OR(G28="",H28=""),"",G28*H28)</f>
        <v/>
      </c>
    </row>
    <row r="29" ht="19" customHeight="1">
      <c r="B29" s="58" t="n"/>
      <c r="C29" s="18" t="n"/>
      <c r="D29" s="18" t="n"/>
      <c r="E29" s="18" t="n"/>
      <c r="F29" s="18" t="n"/>
      <c r="G29" s="18" t="n"/>
      <c r="H29" s="47" t="n"/>
      <c r="I29" s="49">
        <f>IF(OR(G29="",H29=""),"",G29*H29)</f>
        <v/>
      </c>
    </row>
    <row r="30">
      <c r="B30" s="55" t="inlineStr">
        <is>
          <t>Mzdové náklady spolu</t>
        </is>
      </c>
      <c r="I30" s="42">
        <f>SUM(I10:I29)</f>
        <v/>
      </c>
    </row>
    <row r="31">
      <c r="B31" s="55" t="inlineStr">
        <is>
          <t>Podiel miezd na tržbách</t>
        </is>
      </c>
      <c r="I31" s="56">
        <f>IF(C7="","",I30/C7)</f>
        <v/>
      </c>
    </row>
  </sheetData>
  <mergeCells count="5">
    <mergeCell ref="C6:D6"/>
    <mergeCell ref="C5:E5"/>
    <mergeCell ref="B2:I2"/>
    <mergeCell ref="B1:I1"/>
    <mergeCell ref="B8:I8"/>
  </mergeCells>
  <conditionalFormatting sqref="I31">
    <cfRule type="cellIs" priority="1" operator="greaterThan" dxfId="1">
      <formula>0.35</formula>
    </cfRule>
  </conditionalFormatting>
  <dataValidations count="1">
    <dataValidation sqref="D10 D11 D12 D13 D14 D15 D16 D17 D18 D19 D20 D21 D22 D23 D24 D25 D26 D27 D28 D29" showDropDown="0" showInputMessage="0" showErrorMessage="0" allowBlank="1" type="list">
      <formula1>"Po,Ut,St,Št,Pi,So,Ne"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D6CDF"/>
    <outlinePr summaryBelow="1" summaryRight="1"/>
    <pageSetUpPr/>
  </sheetPr>
  <dimension ref="B1:I40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13" customWidth="1" min="2" max="2"/>
    <col width="14" customWidth="1" min="3" max="3"/>
    <col width="13" customWidth="1" min="4" max="4"/>
    <col width="13" customWidth="1" min="5" max="5"/>
    <col width="14" customWidth="1" min="6" max="6"/>
    <col width="15" customWidth="1" min="7" max="7"/>
    <col width="13" customWidth="1" min="8" max="8"/>
    <col width="16" customWidth="1" min="9" max="9"/>
  </cols>
  <sheetData>
    <row r="1" ht="38" customHeight="1">
      <c r="B1" s="1" t="inlineStr">
        <is>
          <t>Denné tržby a uzávierka pokladne</t>
        </is>
      </c>
    </row>
    <row r="2" ht="20" customHeight="1">
      <c r="B2" s="2" t="inlineStr">
        <is>
          <t>Porovná uzávierku (Z) s hotovosťou a kartami a upozorní na rozdiel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Mesiac</t>
        </is>
      </c>
      <c r="C6" s="13" t="n"/>
    </row>
    <row r="7" ht="30" customHeight="1">
      <c r="B7" s="9" t="inlineStr">
        <is>
          <t xml:space="preserve">  Rozdiel = (hotovosť + karty) − uzávierka. Hodnoty mimo nuly sa zvýraznia — preverte ich.</t>
        </is>
      </c>
    </row>
    <row r="8" ht="30" customHeight="1">
      <c r="B8" s="15" t="inlineStr">
        <is>
          <t>Dátum</t>
        </is>
      </c>
      <c r="C8" s="15" t="inlineStr">
        <is>
          <t>Uzávierka € (Z)</t>
        </is>
      </c>
      <c r="D8" s="15" t="inlineStr">
        <is>
          <t>Hotovosť €</t>
        </is>
      </c>
      <c r="E8" s="15" t="inlineStr">
        <is>
          <t>Karty €</t>
        </is>
      </c>
      <c r="F8" s="15" t="inlineStr">
        <is>
          <t>Vklad €</t>
        </is>
      </c>
      <c r="G8" s="15" t="inlineStr">
        <is>
          <t>Spolu spočítané €</t>
        </is>
      </c>
      <c r="H8" s="15" t="inlineStr">
        <is>
          <t>Rozdiel €</t>
        </is>
      </c>
      <c r="I8" s="15" t="inlineStr">
        <is>
          <t>Kontroloval</t>
        </is>
      </c>
    </row>
    <row r="9" ht="19" customHeight="1">
      <c r="B9" s="59" t="n"/>
      <c r="C9" s="47" t="n"/>
      <c r="D9" s="47" t="n"/>
      <c r="E9" s="47" t="n"/>
      <c r="F9" s="47" t="n"/>
      <c r="G9" s="49">
        <f>IF(AND(D9="",E9=""),"",D9+E9)</f>
        <v/>
      </c>
      <c r="H9" s="49">
        <f>IF(OR(C9="",G9=""),"",G9-C9)</f>
        <v/>
      </c>
      <c r="I9" s="18" t="n"/>
    </row>
    <row r="10" ht="19" customHeight="1">
      <c r="B10" s="59" t="n"/>
      <c r="C10" s="47" t="n"/>
      <c r="D10" s="47" t="n"/>
      <c r="E10" s="47" t="n"/>
      <c r="F10" s="47" t="n"/>
      <c r="G10" s="49">
        <f>IF(AND(D10="",E10=""),"",D10+E10)</f>
        <v/>
      </c>
      <c r="H10" s="49">
        <f>IF(OR(C10="",G10=""),"",G10-C10)</f>
        <v/>
      </c>
      <c r="I10" s="18" t="n"/>
    </row>
    <row r="11" ht="19" customHeight="1">
      <c r="B11" s="59" t="n"/>
      <c r="C11" s="47" t="n"/>
      <c r="D11" s="47" t="n"/>
      <c r="E11" s="47" t="n"/>
      <c r="F11" s="47" t="n"/>
      <c r="G11" s="49">
        <f>IF(AND(D11="",E11=""),"",D11+E11)</f>
        <v/>
      </c>
      <c r="H11" s="49">
        <f>IF(OR(C11="",G11=""),"",G11-C11)</f>
        <v/>
      </c>
      <c r="I11" s="18" t="n"/>
    </row>
    <row r="12" ht="19" customHeight="1">
      <c r="B12" s="59" t="n"/>
      <c r="C12" s="47" t="n"/>
      <c r="D12" s="47" t="n"/>
      <c r="E12" s="47" t="n"/>
      <c r="F12" s="47" t="n"/>
      <c r="G12" s="49">
        <f>IF(AND(D12="",E12=""),"",D12+E12)</f>
        <v/>
      </c>
      <c r="H12" s="49">
        <f>IF(OR(C12="",G12=""),"",G12-C12)</f>
        <v/>
      </c>
      <c r="I12" s="18" t="n"/>
    </row>
    <row r="13" ht="19" customHeight="1">
      <c r="B13" s="59" t="n"/>
      <c r="C13" s="47" t="n"/>
      <c r="D13" s="47" t="n"/>
      <c r="E13" s="47" t="n"/>
      <c r="F13" s="47" t="n"/>
      <c r="G13" s="49">
        <f>IF(AND(D13="",E13=""),"",D13+E13)</f>
        <v/>
      </c>
      <c r="H13" s="49">
        <f>IF(OR(C13="",G13=""),"",G13-C13)</f>
        <v/>
      </c>
      <c r="I13" s="18" t="n"/>
    </row>
    <row r="14" ht="19" customHeight="1">
      <c r="B14" s="59" t="n"/>
      <c r="C14" s="47" t="n"/>
      <c r="D14" s="47" t="n"/>
      <c r="E14" s="47" t="n"/>
      <c r="F14" s="47" t="n"/>
      <c r="G14" s="49">
        <f>IF(AND(D14="",E14=""),"",D14+E14)</f>
        <v/>
      </c>
      <c r="H14" s="49">
        <f>IF(OR(C14="",G14=""),"",G14-C14)</f>
        <v/>
      </c>
      <c r="I14" s="18" t="n"/>
    </row>
    <row r="15" ht="19" customHeight="1">
      <c r="B15" s="59" t="n"/>
      <c r="C15" s="47" t="n"/>
      <c r="D15" s="47" t="n"/>
      <c r="E15" s="47" t="n"/>
      <c r="F15" s="47" t="n"/>
      <c r="G15" s="49">
        <f>IF(AND(D15="",E15=""),"",D15+E15)</f>
        <v/>
      </c>
      <c r="H15" s="49">
        <f>IF(OR(C15="",G15=""),"",G15-C15)</f>
        <v/>
      </c>
      <c r="I15" s="18" t="n"/>
    </row>
    <row r="16" ht="19" customHeight="1">
      <c r="B16" s="59" t="n"/>
      <c r="C16" s="47" t="n"/>
      <c r="D16" s="47" t="n"/>
      <c r="E16" s="47" t="n"/>
      <c r="F16" s="47" t="n"/>
      <c r="G16" s="49">
        <f>IF(AND(D16="",E16=""),"",D16+E16)</f>
        <v/>
      </c>
      <c r="H16" s="49">
        <f>IF(OR(C16="",G16=""),"",G16-C16)</f>
        <v/>
      </c>
      <c r="I16" s="18" t="n"/>
    </row>
    <row r="17" ht="19" customHeight="1">
      <c r="B17" s="59" t="n"/>
      <c r="C17" s="47" t="n"/>
      <c r="D17" s="47" t="n"/>
      <c r="E17" s="47" t="n"/>
      <c r="F17" s="47" t="n"/>
      <c r="G17" s="49">
        <f>IF(AND(D17="",E17=""),"",D17+E17)</f>
        <v/>
      </c>
      <c r="H17" s="49">
        <f>IF(OR(C17="",G17=""),"",G17-C17)</f>
        <v/>
      </c>
      <c r="I17" s="18" t="n"/>
    </row>
    <row r="18" ht="19" customHeight="1">
      <c r="B18" s="59" t="n"/>
      <c r="C18" s="47" t="n"/>
      <c r="D18" s="47" t="n"/>
      <c r="E18" s="47" t="n"/>
      <c r="F18" s="47" t="n"/>
      <c r="G18" s="49">
        <f>IF(AND(D18="",E18=""),"",D18+E18)</f>
        <v/>
      </c>
      <c r="H18" s="49">
        <f>IF(OR(C18="",G18=""),"",G18-C18)</f>
        <v/>
      </c>
      <c r="I18" s="18" t="n"/>
    </row>
    <row r="19" ht="19" customHeight="1">
      <c r="B19" s="59" t="n"/>
      <c r="C19" s="47" t="n"/>
      <c r="D19" s="47" t="n"/>
      <c r="E19" s="47" t="n"/>
      <c r="F19" s="47" t="n"/>
      <c r="G19" s="49">
        <f>IF(AND(D19="",E19=""),"",D19+E19)</f>
        <v/>
      </c>
      <c r="H19" s="49">
        <f>IF(OR(C19="",G19=""),"",G19-C19)</f>
        <v/>
      </c>
      <c r="I19" s="18" t="n"/>
    </row>
    <row r="20" ht="19" customHeight="1">
      <c r="B20" s="59" t="n"/>
      <c r="C20" s="47" t="n"/>
      <c r="D20" s="47" t="n"/>
      <c r="E20" s="47" t="n"/>
      <c r="F20" s="47" t="n"/>
      <c r="G20" s="49">
        <f>IF(AND(D20="",E20=""),"",D20+E20)</f>
        <v/>
      </c>
      <c r="H20" s="49">
        <f>IF(OR(C20="",G20=""),"",G20-C20)</f>
        <v/>
      </c>
      <c r="I20" s="18" t="n"/>
    </row>
    <row r="21" ht="19" customHeight="1">
      <c r="B21" s="59" t="n"/>
      <c r="C21" s="47" t="n"/>
      <c r="D21" s="47" t="n"/>
      <c r="E21" s="47" t="n"/>
      <c r="F21" s="47" t="n"/>
      <c r="G21" s="49">
        <f>IF(AND(D21="",E21=""),"",D21+E21)</f>
        <v/>
      </c>
      <c r="H21" s="49">
        <f>IF(OR(C21="",G21=""),"",G21-C21)</f>
        <v/>
      </c>
      <c r="I21" s="18" t="n"/>
    </row>
    <row r="22" ht="19" customHeight="1">
      <c r="B22" s="59" t="n"/>
      <c r="C22" s="47" t="n"/>
      <c r="D22" s="47" t="n"/>
      <c r="E22" s="47" t="n"/>
      <c r="F22" s="47" t="n"/>
      <c r="G22" s="49">
        <f>IF(AND(D22="",E22=""),"",D22+E22)</f>
        <v/>
      </c>
      <c r="H22" s="49">
        <f>IF(OR(C22="",G22=""),"",G22-C22)</f>
        <v/>
      </c>
      <c r="I22" s="18" t="n"/>
    </row>
    <row r="23" ht="19" customHeight="1">
      <c r="B23" s="59" t="n"/>
      <c r="C23" s="47" t="n"/>
      <c r="D23" s="47" t="n"/>
      <c r="E23" s="47" t="n"/>
      <c r="F23" s="47" t="n"/>
      <c r="G23" s="49">
        <f>IF(AND(D23="",E23=""),"",D23+E23)</f>
        <v/>
      </c>
      <c r="H23" s="49">
        <f>IF(OR(C23="",G23=""),"",G23-C23)</f>
        <v/>
      </c>
      <c r="I23" s="18" t="n"/>
    </row>
    <row r="24" ht="19" customHeight="1">
      <c r="B24" s="59" t="n"/>
      <c r="C24" s="47" t="n"/>
      <c r="D24" s="47" t="n"/>
      <c r="E24" s="47" t="n"/>
      <c r="F24" s="47" t="n"/>
      <c r="G24" s="49">
        <f>IF(AND(D24="",E24=""),"",D24+E24)</f>
        <v/>
      </c>
      <c r="H24" s="49">
        <f>IF(OR(C24="",G24=""),"",G24-C24)</f>
        <v/>
      </c>
      <c r="I24" s="18" t="n"/>
    </row>
    <row r="25" ht="19" customHeight="1">
      <c r="B25" s="59" t="n"/>
      <c r="C25" s="47" t="n"/>
      <c r="D25" s="47" t="n"/>
      <c r="E25" s="47" t="n"/>
      <c r="F25" s="47" t="n"/>
      <c r="G25" s="49">
        <f>IF(AND(D25="",E25=""),"",D25+E25)</f>
        <v/>
      </c>
      <c r="H25" s="49">
        <f>IF(OR(C25="",G25=""),"",G25-C25)</f>
        <v/>
      </c>
      <c r="I25" s="18" t="n"/>
    </row>
    <row r="26" ht="19" customHeight="1">
      <c r="B26" s="59" t="n"/>
      <c r="C26" s="47" t="n"/>
      <c r="D26" s="47" t="n"/>
      <c r="E26" s="47" t="n"/>
      <c r="F26" s="47" t="n"/>
      <c r="G26" s="49">
        <f>IF(AND(D26="",E26=""),"",D26+E26)</f>
        <v/>
      </c>
      <c r="H26" s="49">
        <f>IF(OR(C26="",G26=""),"",G26-C26)</f>
        <v/>
      </c>
      <c r="I26" s="18" t="n"/>
    </row>
    <row r="27" ht="19" customHeight="1">
      <c r="B27" s="59" t="n"/>
      <c r="C27" s="47" t="n"/>
      <c r="D27" s="47" t="n"/>
      <c r="E27" s="47" t="n"/>
      <c r="F27" s="47" t="n"/>
      <c r="G27" s="49">
        <f>IF(AND(D27="",E27=""),"",D27+E27)</f>
        <v/>
      </c>
      <c r="H27" s="49">
        <f>IF(OR(C27="",G27=""),"",G27-C27)</f>
        <v/>
      </c>
      <c r="I27" s="18" t="n"/>
    </row>
    <row r="28" ht="19" customHeight="1">
      <c r="B28" s="59" t="n"/>
      <c r="C28" s="47" t="n"/>
      <c r="D28" s="47" t="n"/>
      <c r="E28" s="47" t="n"/>
      <c r="F28" s="47" t="n"/>
      <c r="G28" s="49">
        <f>IF(AND(D28="",E28=""),"",D28+E28)</f>
        <v/>
      </c>
      <c r="H28" s="49">
        <f>IF(OR(C28="",G28=""),"",G28-C28)</f>
        <v/>
      </c>
      <c r="I28" s="18" t="n"/>
    </row>
    <row r="29" ht="19" customHeight="1">
      <c r="B29" s="59" t="n"/>
      <c r="C29" s="47" t="n"/>
      <c r="D29" s="47" t="n"/>
      <c r="E29" s="47" t="n"/>
      <c r="F29" s="47" t="n"/>
      <c r="G29" s="49">
        <f>IF(AND(D29="",E29=""),"",D29+E29)</f>
        <v/>
      </c>
      <c r="H29" s="49">
        <f>IF(OR(C29="",G29=""),"",G29-C29)</f>
        <v/>
      </c>
      <c r="I29" s="18" t="n"/>
    </row>
    <row r="30" ht="19" customHeight="1">
      <c r="B30" s="59" t="n"/>
      <c r="C30" s="47" t="n"/>
      <c r="D30" s="47" t="n"/>
      <c r="E30" s="47" t="n"/>
      <c r="F30" s="47" t="n"/>
      <c r="G30" s="49">
        <f>IF(AND(D30="",E30=""),"",D30+E30)</f>
        <v/>
      </c>
      <c r="H30" s="49">
        <f>IF(OR(C30="",G30=""),"",G30-C30)</f>
        <v/>
      </c>
      <c r="I30" s="18" t="n"/>
    </row>
    <row r="31" ht="19" customHeight="1">
      <c r="B31" s="59" t="n"/>
      <c r="C31" s="47" t="n"/>
      <c r="D31" s="47" t="n"/>
      <c r="E31" s="47" t="n"/>
      <c r="F31" s="47" t="n"/>
      <c r="G31" s="49">
        <f>IF(AND(D31="",E31=""),"",D31+E31)</f>
        <v/>
      </c>
      <c r="H31" s="49">
        <f>IF(OR(C31="",G31=""),"",G31-C31)</f>
        <v/>
      </c>
      <c r="I31" s="18" t="n"/>
    </row>
    <row r="32" ht="19" customHeight="1">
      <c r="B32" s="59" t="n"/>
      <c r="C32" s="47" t="n"/>
      <c r="D32" s="47" t="n"/>
      <c r="E32" s="47" t="n"/>
      <c r="F32" s="47" t="n"/>
      <c r="G32" s="49">
        <f>IF(AND(D32="",E32=""),"",D32+E32)</f>
        <v/>
      </c>
      <c r="H32" s="49">
        <f>IF(OR(C32="",G32=""),"",G32-C32)</f>
        <v/>
      </c>
      <c r="I32" s="18" t="n"/>
    </row>
    <row r="33" ht="19" customHeight="1">
      <c r="B33" s="59" t="n"/>
      <c r="C33" s="47" t="n"/>
      <c r="D33" s="47" t="n"/>
      <c r="E33" s="47" t="n"/>
      <c r="F33" s="47" t="n"/>
      <c r="G33" s="49">
        <f>IF(AND(D33="",E33=""),"",D33+E33)</f>
        <v/>
      </c>
      <c r="H33" s="49">
        <f>IF(OR(C33="",G33=""),"",G33-C33)</f>
        <v/>
      </c>
      <c r="I33" s="18" t="n"/>
    </row>
    <row r="34" ht="19" customHeight="1">
      <c r="B34" s="59" t="n"/>
      <c r="C34" s="47" t="n"/>
      <c r="D34" s="47" t="n"/>
      <c r="E34" s="47" t="n"/>
      <c r="F34" s="47" t="n"/>
      <c r="G34" s="49">
        <f>IF(AND(D34="",E34=""),"",D34+E34)</f>
        <v/>
      </c>
      <c r="H34" s="49">
        <f>IF(OR(C34="",G34=""),"",G34-C34)</f>
        <v/>
      </c>
      <c r="I34" s="18" t="n"/>
    </row>
    <row r="35" ht="19" customHeight="1">
      <c r="B35" s="59" t="n"/>
      <c r="C35" s="47" t="n"/>
      <c r="D35" s="47" t="n"/>
      <c r="E35" s="47" t="n"/>
      <c r="F35" s="47" t="n"/>
      <c r="G35" s="49">
        <f>IF(AND(D35="",E35=""),"",D35+E35)</f>
        <v/>
      </c>
      <c r="H35" s="49">
        <f>IF(OR(C35="",G35=""),"",G35-C35)</f>
        <v/>
      </c>
      <c r="I35" s="18" t="n"/>
    </row>
    <row r="36" ht="19" customHeight="1">
      <c r="B36" s="59" t="n"/>
      <c r="C36" s="47" t="n"/>
      <c r="D36" s="47" t="n"/>
      <c r="E36" s="47" t="n"/>
      <c r="F36" s="47" t="n"/>
      <c r="G36" s="49">
        <f>IF(AND(D36="",E36=""),"",D36+E36)</f>
        <v/>
      </c>
      <c r="H36" s="49">
        <f>IF(OR(C36="",G36=""),"",G36-C36)</f>
        <v/>
      </c>
      <c r="I36" s="18" t="n"/>
    </row>
    <row r="37" ht="19" customHeight="1">
      <c r="B37" s="59" t="n"/>
      <c r="C37" s="47" t="n"/>
      <c r="D37" s="47" t="n"/>
      <c r="E37" s="47" t="n"/>
      <c r="F37" s="47" t="n"/>
      <c r="G37" s="49">
        <f>IF(AND(D37="",E37=""),"",D37+E37)</f>
        <v/>
      </c>
      <c r="H37" s="49">
        <f>IF(OR(C37="",G37=""),"",G37-C37)</f>
        <v/>
      </c>
      <c r="I37" s="18" t="n"/>
    </row>
    <row r="38" ht="19" customHeight="1">
      <c r="B38" s="59" t="n"/>
      <c r="C38" s="47" t="n"/>
      <c r="D38" s="47" t="n"/>
      <c r="E38" s="47" t="n"/>
      <c r="F38" s="47" t="n"/>
      <c r="G38" s="49">
        <f>IF(AND(D38="",E38=""),"",D38+E38)</f>
        <v/>
      </c>
      <c r="H38" s="49">
        <f>IF(OR(C38="",G38=""),"",G38-C38)</f>
        <v/>
      </c>
      <c r="I38" s="18" t="n"/>
    </row>
    <row r="39" ht="19" customHeight="1">
      <c r="B39" s="59" t="n"/>
      <c r="C39" s="47" t="n"/>
      <c r="D39" s="47" t="n"/>
      <c r="E39" s="47" t="n"/>
      <c r="F39" s="47" t="n"/>
      <c r="G39" s="49">
        <f>IF(AND(D39="",E39=""),"",D39+E39)</f>
        <v/>
      </c>
      <c r="H39" s="49">
        <f>IF(OR(C39="",G39=""),"",G39-C39)</f>
        <v/>
      </c>
      <c r="I39" s="18" t="n"/>
    </row>
    <row r="40">
      <c r="B40" s="55" t="inlineStr">
        <is>
          <t>Spolu (rok)</t>
        </is>
      </c>
      <c r="C40" s="42">
        <f>SUM(C9:C39)</f>
        <v/>
      </c>
      <c r="H40" s="42">
        <f>SUM(H9:H39)</f>
        <v/>
      </c>
    </row>
  </sheetData>
  <mergeCells count="5">
    <mergeCell ref="C6:D6"/>
    <mergeCell ref="C5:E5"/>
    <mergeCell ref="B7:I7"/>
    <mergeCell ref="B2:I2"/>
    <mergeCell ref="B1:I1"/>
  </mergeCells>
  <conditionalFormatting sqref="H9:H39">
    <cfRule type="cellIs" priority="1" operator="greaterThan" dxfId="1">
      <formula>1</formula>
    </cfRule>
    <cfRule type="cellIs" priority="2" operator="lessThan" dxfId="1">
      <formula>-1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2B45"/>
    <outlinePr summaryBelow="1" summaryRight="1"/>
    <pageSetUpPr/>
  </sheetPr>
  <dimension ref="B1:J25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2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4" customWidth="1" min="10" max="10"/>
  </cols>
  <sheetData>
    <row r="1" ht="38" customHeight="1">
      <c r="B1" s="1" t="inlineStr">
        <is>
          <t>Školenia a zaškolenie</t>
        </is>
      </c>
    </row>
    <row r="2" ht="20" customHeight="1">
      <c r="B2" s="2" t="inlineStr">
        <is>
          <t>Dôkaz, že pracovník bol školený PRED zmenou — vrátane manipulácie a zaškolenia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5" ht="20" customHeight="1">
      <c r="B5" s="11" t="inlineStr">
        <is>
          <t>Názov prevádzky</t>
        </is>
      </c>
      <c r="C5" s="13" t="n"/>
    </row>
    <row r="6" ht="30" customHeight="1">
      <c r="B6" s="9" t="inlineStr">
        <is>
          <t xml:space="preserve">  Zadajte dátum absolvovania (DD/MM/RRRR). Prázdna bunka = chýbajúce školenie pred prácou.</t>
        </is>
      </c>
    </row>
    <row r="7" ht="34" customHeight="1">
      <c r="B7" s="15" t="inlineStr">
        <is>
          <t>Zamestnanec</t>
        </is>
      </c>
      <c r="C7" s="15" t="inlineStr">
        <is>
          <t>Nástup</t>
        </is>
      </c>
      <c r="D7" s="15" t="inlineStr">
        <is>
          <t>Zaškolenie</t>
        </is>
      </c>
      <c r="E7" s="15" t="inlineStr">
        <is>
          <t>Manipulácia s bremenami</t>
        </is>
      </c>
      <c r="F7" s="15" t="inlineStr">
        <is>
          <t>Hygiena potravín</t>
        </is>
      </c>
      <c r="G7" s="15" t="inlineStr">
        <is>
          <t>Alergény</t>
        </is>
      </c>
      <c r="H7" s="15" t="inlineStr">
        <is>
          <t>Požiarna ochrana</t>
        </is>
      </c>
      <c r="I7" s="15" t="inlineStr">
        <is>
          <t>BOZP / prvá pomoc</t>
        </is>
      </c>
      <c r="J7" s="15" t="inlineStr">
        <is>
          <t>Preškolenie</t>
        </is>
      </c>
    </row>
    <row r="8" ht="19" customHeight="1">
      <c r="B8" s="58" t="n"/>
      <c r="C8" s="60" t="n"/>
      <c r="D8" s="60" t="n"/>
      <c r="E8" s="60" t="n"/>
      <c r="F8" s="60" t="n"/>
      <c r="G8" s="60" t="n"/>
      <c r="H8" s="60" t="n"/>
      <c r="I8" s="60" t="n"/>
      <c r="J8" s="46" t="n"/>
    </row>
    <row r="9" ht="19" customHeight="1">
      <c r="B9" s="58" t="n"/>
      <c r="C9" s="60" t="n"/>
      <c r="D9" s="60" t="n"/>
      <c r="E9" s="60" t="n"/>
      <c r="F9" s="60" t="n"/>
      <c r="G9" s="60" t="n"/>
      <c r="H9" s="60" t="n"/>
      <c r="I9" s="60" t="n"/>
      <c r="J9" s="53" t="n"/>
    </row>
    <row r="10" ht="19" customHeight="1">
      <c r="B10" s="58" t="n"/>
      <c r="C10" s="60" t="n"/>
      <c r="D10" s="60" t="n"/>
      <c r="E10" s="60" t="n"/>
      <c r="F10" s="60" t="n"/>
      <c r="G10" s="60" t="n"/>
      <c r="H10" s="60" t="n"/>
      <c r="I10" s="60" t="n"/>
      <c r="J10" s="46" t="n"/>
    </row>
    <row r="11" ht="19" customHeight="1">
      <c r="B11" s="58" t="n"/>
      <c r="C11" s="60" t="n"/>
      <c r="D11" s="60" t="n"/>
      <c r="E11" s="60" t="n"/>
      <c r="F11" s="60" t="n"/>
      <c r="G11" s="60" t="n"/>
      <c r="H11" s="60" t="n"/>
      <c r="I11" s="60" t="n"/>
      <c r="J11" s="53" t="n"/>
    </row>
    <row r="12" ht="19" customHeight="1">
      <c r="B12" s="58" t="n"/>
      <c r="C12" s="60" t="n"/>
      <c r="D12" s="60" t="n"/>
      <c r="E12" s="60" t="n"/>
      <c r="F12" s="60" t="n"/>
      <c r="G12" s="60" t="n"/>
      <c r="H12" s="60" t="n"/>
      <c r="I12" s="60" t="n"/>
      <c r="J12" s="46" t="n"/>
    </row>
    <row r="13" ht="19" customHeight="1">
      <c r="B13" s="58" t="n"/>
      <c r="C13" s="60" t="n"/>
      <c r="D13" s="60" t="n"/>
      <c r="E13" s="60" t="n"/>
      <c r="F13" s="60" t="n"/>
      <c r="G13" s="60" t="n"/>
      <c r="H13" s="60" t="n"/>
      <c r="I13" s="60" t="n"/>
      <c r="J13" s="53" t="n"/>
    </row>
    <row r="14" ht="19" customHeight="1">
      <c r="B14" s="58" t="n"/>
      <c r="C14" s="60" t="n"/>
      <c r="D14" s="60" t="n"/>
      <c r="E14" s="60" t="n"/>
      <c r="F14" s="60" t="n"/>
      <c r="G14" s="60" t="n"/>
      <c r="H14" s="60" t="n"/>
      <c r="I14" s="60" t="n"/>
      <c r="J14" s="46" t="n"/>
    </row>
    <row r="15" ht="19" customHeight="1">
      <c r="B15" s="58" t="n"/>
      <c r="C15" s="60" t="n"/>
      <c r="D15" s="60" t="n"/>
      <c r="E15" s="60" t="n"/>
      <c r="F15" s="60" t="n"/>
      <c r="G15" s="60" t="n"/>
      <c r="H15" s="60" t="n"/>
      <c r="I15" s="60" t="n"/>
      <c r="J15" s="53" t="n"/>
    </row>
    <row r="16" ht="19" customHeight="1">
      <c r="B16" s="58" t="n"/>
      <c r="C16" s="60" t="n"/>
      <c r="D16" s="60" t="n"/>
      <c r="E16" s="60" t="n"/>
      <c r="F16" s="60" t="n"/>
      <c r="G16" s="60" t="n"/>
      <c r="H16" s="60" t="n"/>
      <c r="I16" s="60" t="n"/>
      <c r="J16" s="46" t="n"/>
    </row>
    <row r="17" ht="19" customHeight="1">
      <c r="B17" s="58" t="n"/>
      <c r="C17" s="60" t="n"/>
      <c r="D17" s="60" t="n"/>
      <c r="E17" s="60" t="n"/>
      <c r="F17" s="60" t="n"/>
      <c r="G17" s="60" t="n"/>
      <c r="H17" s="60" t="n"/>
      <c r="I17" s="60" t="n"/>
      <c r="J17" s="53" t="n"/>
    </row>
    <row r="18" ht="19" customHeight="1">
      <c r="B18" s="58" t="n"/>
      <c r="C18" s="60" t="n"/>
      <c r="D18" s="60" t="n"/>
      <c r="E18" s="60" t="n"/>
      <c r="F18" s="60" t="n"/>
      <c r="G18" s="60" t="n"/>
      <c r="H18" s="60" t="n"/>
      <c r="I18" s="60" t="n"/>
      <c r="J18" s="46" t="n"/>
    </row>
    <row r="19" ht="19" customHeight="1">
      <c r="B19" s="58" t="n"/>
      <c r="C19" s="60" t="n"/>
      <c r="D19" s="60" t="n"/>
      <c r="E19" s="60" t="n"/>
      <c r="F19" s="60" t="n"/>
      <c r="G19" s="60" t="n"/>
      <c r="H19" s="60" t="n"/>
      <c r="I19" s="60" t="n"/>
      <c r="J19" s="53" t="n"/>
    </row>
    <row r="20" ht="19" customHeight="1">
      <c r="B20" s="58" t="n"/>
      <c r="C20" s="60" t="n"/>
      <c r="D20" s="60" t="n"/>
      <c r="E20" s="60" t="n"/>
      <c r="F20" s="60" t="n"/>
      <c r="G20" s="60" t="n"/>
      <c r="H20" s="60" t="n"/>
      <c r="I20" s="60" t="n"/>
      <c r="J20" s="46" t="n"/>
    </row>
    <row r="21" ht="19" customHeight="1">
      <c r="B21" s="58" t="n"/>
      <c r="C21" s="60" t="n"/>
      <c r="D21" s="60" t="n"/>
      <c r="E21" s="60" t="n"/>
      <c r="F21" s="60" t="n"/>
      <c r="G21" s="60" t="n"/>
      <c r="H21" s="60" t="n"/>
      <c r="I21" s="60" t="n"/>
      <c r="J21" s="53" t="n"/>
    </row>
    <row r="22" ht="19" customHeight="1">
      <c r="B22" s="58" t="n"/>
      <c r="C22" s="60" t="n"/>
      <c r="D22" s="60" t="n"/>
      <c r="E22" s="60" t="n"/>
      <c r="F22" s="60" t="n"/>
      <c r="G22" s="60" t="n"/>
      <c r="H22" s="60" t="n"/>
      <c r="I22" s="60" t="n"/>
      <c r="J22" s="46" t="n"/>
    </row>
    <row r="23" ht="19" customHeight="1">
      <c r="B23" s="58" t="n"/>
      <c r="C23" s="60" t="n"/>
      <c r="D23" s="60" t="n"/>
      <c r="E23" s="60" t="n"/>
      <c r="F23" s="60" t="n"/>
      <c r="G23" s="60" t="n"/>
      <c r="H23" s="60" t="n"/>
      <c r="I23" s="60" t="n"/>
      <c r="J23" s="53" t="n"/>
    </row>
    <row r="25" ht="30" customHeight="1">
      <c r="B25" s="61" t="inlineStr">
        <is>
          <t xml:space="preserve">  Pozn.: podľa zákona o BOZP musia byť zamestnanci školení na svoju prácu — maticu udržiavajte aktuálnu a s dátumami.</t>
        </is>
      </c>
    </row>
  </sheetData>
  <mergeCells count="5">
    <mergeCell ref="B25:J25"/>
    <mergeCell ref="C5:E5"/>
    <mergeCell ref="B1:J1"/>
    <mergeCell ref="B6:J6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ASSET-FORGE</dc:creator>
  <dc:title>Prevádzka a marža pre gastro (SK)</dc:title>
  <dc:subject>Gastro prevádzka — cash flow, marža, zásoby, zmeny, tržby, školenia</dc:subject>
  <dcterms:created xsi:type="dcterms:W3CDTF">2026-05-31T08:36:15Z</dcterms:created>
  <dcterms:modified xsi:type="dcterms:W3CDTF">2026-05-31T08:36:15Z</dcterms:modified>
</cp:coreProperties>
</file>