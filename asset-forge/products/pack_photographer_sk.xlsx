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na zákazku" sheetId="5" state="visible" r:id="rId5"/>
    <sheet name="05 · Kapacita" sheetId="6" state="visible" r:id="rId6"/>
    <sheet name="06 · Tržby" sheetId="7" state="visible" r:id="rId7"/>
    <sheet name="07 · Školen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1B1C28"/>
      <sz val="22"/>
    </font>
    <font>
      <name val="Calibri"/>
      <color rgb="006B7280"/>
      <sz val="11"/>
    </font>
    <font>
      <name val="Calibri"/>
      <b val="1"/>
      <color rgb="004A4E69"/>
      <sz val="10.5"/>
    </font>
    <font>
      <name val="Calibri"/>
      <color rgb="006B7280"/>
      <sz val="10"/>
    </font>
    <font>
      <name val="Calibri"/>
      <color rgb="001B1C28"/>
      <sz val="10"/>
    </font>
    <font>
      <name val="Calibri"/>
      <i val="1"/>
      <color rgb="001B1C28"/>
      <sz val="9.5"/>
    </font>
    <font>
      <name val="Calibri"/>
      <i val="1"/>
      <color rgb="009AA3B0"/>
      <sz val="8"/>
    </font>
    <font>
      <name val="Calibri"/>
      <b val="1"/>
      <color rgb="001B1C28"/>
      <sz val="10"/>
    </font>
    <font>
      <name val="Calibri"/>
      <b val="1"/>
      <color rgb="004A4E69"/>
      <sz val="11"/>
    </font>
    <font>
      <name val="Calibri"/>
      <b val="1"/>
      <color rgb="00FFFFFF"/>
      <sz val="10"/>
    </font>
    <font>
      <name val="Calibri"/>
      <color rgb="001B1C28"/>
      <sz val="9.5"/>
    </font>
    <font>
      <name val="Calibri"/>
      <b val="1"/>
      <color rgb="006B7280"/>
      <sz val="9.5"/>
    </font>
    <font>
      <name val="Calibri"/>
      <b val="1"/>
      <color rgb="004A4E69"/>
      <sz val="9.5"/>
    </font>
    <font>
      <name val="Calibri"/>
      <b val="1"/>
      <color rgb="001B1C28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4A4E69"/>
      <sz val="20"/>
    </font>
    <font>
      <name val="Calibri"/>
      <b val="1"/>
      <color rgb="00E0A458"/>
      <sz val="20"/>
    </font>
    <font>
      <name val="Calibri"/>
      <b val="1"/>
      <color rgb="001B1C28"/>
      <sz val="20"/>
    </font>
    <font>
      <name val="Calibri"/>
      <color rgb="001B1C28"/>
      <sz val="10.5"/>
    </font>
  </fonts>
  <fills count="10">
    <fill>
      <patternFill/>
    </fill>
    <fill>
      <patternFill patternType="gray125"/>
    </fill>
    <fill>
      <patternFill patternType="solid">
        <fgColor rgb="00E0A458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4A4E69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1B1C28"/>
      </patternFill>
    </fill>
  </fills>
  <borders count="13">
    <border>
      <left/>
      <right/>
      <top/>
      <bottom/>
      <diagonal/>
    </border>
    <border>
      <bottom style="thin">
        <color rgb="004A4E69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E0A458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8" fillId="8" borderId="9" applyAlignment="1" pivotButton="0" quotePrefix="0" xfId="0">
      <alignment horizontal="left" vertical="center" indent="1"/>
    </xf>
    <xf numFmtId="166" fontId="19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5" TargetMode="External" Id="rId1" /><Relationship Type="http://schemas.openxmlformats.org/officeDocument/2006/relationships/hyperlink" Target="#'03 &#183; Cash flow'!O20" TargetMode="External" Id="rId2" /><Relationship Type="http://schemas.openxmlformats.org/officeDocument/2006/relationships/hyperlink" Target="#'03 &#183; Cash flow'!O28" TargetMode="External" Id="rId3" /><Relationship Type="http://schemas.openxmlformats.org/officeDocument/2006/relationships/hyperlink" Target="#'03 &#183; Cash flow'!N31" TargetMode="External" Id="rId4" /><Relationship Type="http://schemas.openxmlformats.org/officeDocument/2006/relationships/hyperlink" Target="#'04 &#183; Mar&#382;a na z&#225;kazku'!H30" TargetMode="External" Id="rId5" /><Relationship Type="http://schemas.openxmlformats.org/officeDocument/2006/relationships/hyperlink" Target="#'05 &#183; Kapacita'!I31" TargetMode="External" Id="rId6" /></Relationships>
</file>

<file path=xl/worksheets/sheet1.xml><?xml version="1.0" encoding="utf-8"?>
<worksheet xmlns="http://schemas.openxmlformats.org/spreadsheetml/2006/main">
  <sheetPr>
    <tabColor rgb="001B1C28"/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Fotograf / fotoateliér</t>
        </is>
      </c>
    </row>
    <row r="2" ht="20" customHeight="1">
      <c r="B2" s="2" t="inlineStr">
        <is>
          <t>Balík, ktorý ustráži maržu na zákazku, balíčky a rozpracovanosť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na zákazku</t>
        </is>
      </c>
      <c r="C7" s="7" t="inlineStr">
        <is>
          <t>Náklad na balíček a marža na zákazku</t>
        </is>
      </c>
    </row>
    <row r="8" ht="20" customHeight="1">
      <c r="B8" s="6" t="inlineStr">
        <is>
          <t xml:space="preserve">  Kapacita</t>
        </is>
      </c>
      <c r="C8" s="7" t="inlineStr">
        <is>
          <t>Vyťaženosť a podiel mzdových nákladov</t>
        </is>
      </c>
    </row>
    <row r="9" ht="20" customHeight="1">
      <c r="B9" s="6" t="inlineStr">
        <is>
          <t xml:space="preserve">  Tržby</t>
        </is>
      </c>
      <c r="C9" s="7" t="inlineStr">
        <is>
          <t>Faktúry zákaziek a úhrady</t>
        </is>
      </c>
    </row>
    <row r="10" ht="20" customHeight="1">
      <c r="B10" s="6" t="inlineStr">
        <is>
          <t xml:space="preserve">  Školenia</t>
        </is>
      </c>
      <c r="C10" s="7" t="inlineStr">
        <is>
          <t>Matica školení — dôkaz pred zmenou</t>
        </is>
      </c>
    </row>
    <row r="11"/>
    <row r="12" ht="24" customHeight="1">
      <c r="B12" s="4" t="inlineStr">
        <is>
          <t>METÓDA — AKO TO POUŽÍVAŤ</t>
        </is>
      </c>
      <c r="C12" s="5" t="n"/>
      <c r="D12" s="5" t="n"/>
      <c r="E12" s="5" t="n"/>
      <c r="F12" s="5" t="n"/>
      <c r="G12" s="5" t="n"/>
      <c r="H12" s="5" t="n"/>
      <c r="I12" s="5" t="n"/>
    </row>
    <row r="13" ht="22" customHeight="1">
      <c r="B13" s="8" t="inlineStr">
        <is>
          <t>•  RÁNO: 3 priority + potvrdenie termínov a fotení</t>
        </is>
      </c>
    </row>
    <row r="14" ht="22" customHeight="1">
      <c r="B14" s="8" t="inlineStr">
        <is>
          <t>•  POČAS FOTENIA: realizácia podľa balíčka a brífingu</t>
        </is>
      </c>
    </row>
    <row r="15" ht="22" customHeight="1">
      <c r="B15" s="8" t="inlineStr">
        <is>
          <t>•  PO FOTENÍ: výber, úprava a odovzdanie + zálohovanie</t>
        </is>
      </c>
    </row>
    <row r="16" ht="22" customHeight="1">
      <c r="B16" s="8" t="inlineStr">
        <is>
          <t>•  TÝŽDENNE: marža na zákazku + stav rozpracovanosti</t>
        </is>
      </c>
    </row>
    <row r="17" ht="22" customHeight="1">
      <c r="B17" s="8" t="inlineStr">
        <is>
          <t>•  MESAČNE: cash flow + prehľad</t>
        </is>
      </c>
    </row>
    <row r="18"/>
    <row r="19" ht="24" customHeight="1">
      <c r="B19" s="4" t="inlineStr">
        <is>
          <t>FARBY</t>
        </is>
      </c>
      <c r="C19" s="5" t="n"/>
      <c r="D19" s="5" t="n"/>
      <c r="E19" s="5" t="n"/>
      <c r="F19" s="5" t="n"/>
      <c r="G19" s="5" t="n"/>
      <c r="H19" s="5" t="n"/>
      <c r="I19" s="5" t="n"/>
    </row>
    <row r="20" ht="30" customHeight="1">
      <c r="B20" s="9" t="inlineStr">
        <is>
          <t xml:space="preserve">  Oranžová = vyplníte vy   ·   Modrá = vypočíta sa automaticky   ·   Biela/sivá = záznamy</t>
        </is>
      </c>
    </row>
    <row r="21"/>
    <row r="22" ht="22" customHeight="1">
      <c r="B22" s="10" t="inlineStr">
        <is>
          <t>ASSET-FORGE · v1.0 · 31/05/2026 · EU (Írsko) · Šablóna — nie je finančné ani právne poradenstvo.</t>
        </is>
      </c>
    </row>
  </sheetData>
  <mergeCells count="17">
    <mergeCell ref="B12:I12"/>
    <mergeCell ref="C8:G8"/>
    <mergeCell ref="B16:G16"/>
    <mergeCell ref="C7:G7"/>
    <mergeCell ref="B22:K22"/>
    <mergeCell ref="C6:G6"/>
    <mergeCell ref="C10:G10"/>
    <mergeCell ref="B14:G14"/>
    <mergeCell ref="B2:I2"/>
    <mergeCell ref="B17:G17"/>
    <mergeCell ref="B20:I20"/>
    <mergeCell ref="B5:I5"/>
    <mergeCell ref="B19:I19"/>
    <mergeCell ref="B13:G13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0A458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dňa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technika nabitá a pamäťové karty pripravené</t>
        </is>
      </c>
      <c r="C33" s="21" t="n"/>
      <c r="D33" s="21" t="n"/>
      <c r="E33" s="18" t="n"/>
    </row>
    <row r="34" ht="19" customHeight="1">
      <c r="B34" s="22" t="inlineStr">
        <is>
          <t xml:space="preserve">  Otvorenie: termíny a lokácie na dnes potvrdené</t>
        </is>
      </c>
      <c r="C34" s="21" t="n"/>
      <c r="D34" s="21" t="n"/>
      <c r="E34" s="18" t="n"/>
    </row>
    <row r="35" ht="19" customHeight="1">
      <c r="B35" s="20" t="inlineStr">
        <is>
          <t xml:space="preserve">  Zatvorenie: zálohovanie fotiek (2 kópie) urobené</t>
        </is>
      </c>
      <c r="C35" s="21" t="n"/>
      <c r="D35" s="21" t="n"/>
      <c r="E35" s="18" t="n"/>
    </row>
    <row r="36" ht="19" customHeight="1">
      <c r="B36" s="22" t="inlineStr">
        <is>
          <t xml:space="preserve">  Zatvorenie: tržby a prijaté zálohy zapísané</t>
        </is>
      </c>
      <c r="C36" s="21" t="n"/>
      <c r="D36" s="21" t="n"/>
      <c r="E36" s="18" t="n"/>
    </row>
    <row r="37" ht="19" customHeight="1">
      <c r="B37" s="20" t="inlineStr">
        <is>
          <t xml:space="preserve">  Zatvorenie: vybavenie skontrolované a uložené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4E69"/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flow'!O15,0)</f>
        <v/>
      </c>
      <c r="D7" s="29" t="n"/>
      <c r="F7" s="31">
        <f>IFERROR('03 · Cash flow'!O20,0)</f>
        <v/>
      </c>
      <c r="H7" s="29" t="n"/>
      <c r="J7" s="32">
        <f>IFERROR('03 · Cash flow'!O28,0)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KONCOVÁ HOTOVOSŤ  ↗</t>
        </is>
      </c>
      <c r="D11" s="29" t="n"/>
      <c r="F11" s="28" t="inlineStr">
        <is>
          <t>PRIEMERNÁ MARŽA NA ZÁKAZKU  ↗</t>
        </is>
      </c>
      <c r="H11" s="29" t="n"/>
      <c r="J11" s="28" t="inlineStr">
        <is>
          <t>PODIEL MIEZD  ↗</t>
        </is>
      </c>
      <c r="L11" s="29" t="n"/>
    </row>
    <row r="12" ht="22" customHeight="1">
      <c r="B12" s="30">
        <f>IFERROR('03 · Cash flow'!N31,0)</f>
        <v/>
      </c>
      <c r="D12" s="29" t="n"/>
      <c r="F12" s="36">
        <f>IFERROR('04 · Marža na zákazku'!H30,0)</f>
        <v/>
      </c>
      <c r="H12" s="29" t="n"/>
      <c r="J12" s="37">
        <f>IFERROR('05 · Kapacita'!I31,0)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24" customHeight="1">
      <c r="B15" s="4" t="inlineStr">
        <is>
          <t>POSTREHY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 ht="24" customHeight="1">
      <c r="B16" s="38">
        <f>IFERROR(IF('03 · Cash flow'!P15="","Tržby vs plán: zadajte ročný plán v hárku Cash flow.","Tržby vs plán: "&amp;TEXT('03 · Cash flow'!Q15,"#,##0 €")&amp;" ("&amp;TEXT('03 · Cash flow'!R15,"+0.0%;-0.0%")&amp;") — "&amp;IF('03 · Cash flow'!R15&gt;=0,"NAD plánom.","POD plánom, preverte hlavný zdroj tržieb.")),"Tržby vs plán: zatiaľ bez dát.")</f>
        <v/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 ht="24" customHeight="1">
      <c r="B17" s="39">
        <f>IFERROR("Čistá marža: "&amp;TEXT('03 · Cash flow'!O28/'03 · Cash flow'!O15,"0.0%")&amp;IF('03 · Cash flow'!O28/'03 · Cash flow'!O15&gt;=0.1," — zdravé."," — pozor, je nízka."),"Čistá marža: zatiaľ bez dát.")</f>
        <v/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 ht="24" customHeight="1">
      <c r="B18" s="38">
        <f>IFERROR("Podiel miezd: "&amp;TEXT('05 · Kapacita'!I31,"0.0%")&amp;IF('05 · Kapacita'!I31&gt;0.35," — NAD cieľom 35 %."," — v poriadku."),"Podiel miezd: zatiaľ bez dát.")</f>
        <v/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</row>
    <row r="19" ht="24" customHeight="1">
      <c r="B19" s="39">
        <f>IFERROR("Položky pod cieľovou maržou: "&amp;TEXT('04 · Marža na zákazku'!H31,"0")&amp;".","Marža: zatiaľ bez dát.")</f>
        <v/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 ht="24" customHeight="1">
      <c r="B20" s="38">
        <f>IFERROR("Rozdiel v pokladni (rok): "&amp;TEXT('06 · Tržby'!H40,"#,##0.00 €")&amp;IF(ABS('06 · Tržby'!H40)&gt;1," — preverte."," — sedí."),"Pokladňa: zatiaľ bez dát.")</f>
        <v/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  <row r="21"/>
    <row r="22" ht="30" customHeight="1">
      <c r="B22" s="9" t="inlineStr">
        <is>
          <t xml:space="preserve">  Tieto čísla sa aktualizujú automaticky, keď vyplníte ostatné hárky.</t>
        </is>
      </c>
    </row>
  </sheetData>
  <mergeCells count="27">
    <mergeCell ref="B11:D11"/>
    <mergeCell ref="J6:L6"/>
    <mergeCell ref="F5:H5"/>
    <mergeCell ref="B16:L16"/>
    <mergeCell ref="B22:L22"/>
    <mergeCell ref="B7:D8"/>
    <mergeCell ref="B18:L18"/>
    <mergeCell ref="J11:L11"/>
    <mergeCell ref="B10:D10"/>
    <mergeCell ref="F7:H8"/>
    <mergeCell ref="B2:L2"/>
    <mergeCell ref="B12:D13"/>
    <mergeCell ref="F12:H13"/>
    <mergeCell ref="B6:D6"/>
    <mergeCell ref="B17:L17"/>
    <mergeCell ref="B1:L1"/>
    <mergeCell ref="B5:D5"/>
    <mergeCell ref="B19:L19"/>
    <mergeCell ref="F11:H11"/>
    <mergeCell ref="J5:L5"/>
    <mergeCell ref="F10:H10"/>
    <mergeCell ref="J7:L8"/>
    <mergeCell ref="F6:H6"/>
    <mergeCell ref="J10:L10"/>
    <mergeCell ref="B15:L15"/>
    <mergeCell ref="B20:L20"/>
    <mergeCell ref="J12:L13"/>
  </mergeCells>
  <conditionalFormatting sqref="J7">
    <cfRule type="cellIs" priority="1" operator="lessThan" dxfId="0">
      <formula>0</formula>
    </cfRule>
  </conditionalFormatting>
  <conditionalFormatting sqref="J12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4E69"/>
    <outlinePr summaryBelow="1" summaryRight="1"/>
    <pageSetUpPr/>
  </sheetPr>
  <dimension ref="A1:R31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46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svadby a podujatia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portréty a rodiny (ateliér)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firemné a produktové foto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20" t="inlineStr">
        <is>
          <t>Tržby predaj tlače a albumov</t>
        </is>
      </c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2">
        <f>SUM(C13:N13)</f>
        <v/>
      </c>
      <c r="P13" s="41" t="n"/>
      <c r="Q13" s="43">
        <f>IF(OR(O13="",P13=""),"",O13-P13)</f>
        <v/>
      </c>
      <c r="R13" s="44">
        <f>IF(OR(P13="",P13=0,O13=""),"",(O13-P13)/P13)</f>
        <v/>
      </c>
    </row>
    <row r="14" ht="16" customHeight="1">
      <c r="B14" s="20" t="inlineStr">
        <is>
          <t>Tržby video</t>
        </is>
      </c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2">
        <f>SUM(C14:N14)</f>
        <v/>
      </c>
      <c r="P14" s="41" t="n"/>
      <c r="Q14" s="43">
        <f>IF(OR(O14="",P14=""),"",O14-P14)</f>
        <v/>
      </c>
      <c r="R14" s="44">
        <f>IF(OR(P14="",P14=0,O14=""),"",(O14-P14)/P14)</f>
        <v/>
      </c>
    </row>
    <row r="15" ht="16" customHeight="1">
      <c r="B15" s="45" t="inlineStr">
        <is>
          <t>Tržby spolu</t>
        </is>
      </c>
      <c r="C15" s="43">
        <f>SUM(C10:C14)</f>
        <v/>
      </c>
      <c r="D15" s="43">
        <f>SUM(D10:D14)</f>
        <v/>
      </c>
      <c r="E15" s="43">
        <f>SUM(E10:E14)</f>
        <v/>
      </c>
      <c r="F15" s="43">
        <f>SUM(F10:F14)</f>
        <v/>
      </c>
      <c r="G15" s="43">
        <f>SUM(G10:G14)</f>
        <v/>
      </c>
      <c r="H15" s="43">
        <f>SUM(H10:H14)</f>
        <v/>
      </c>
      <c r="I15" s="43">
        <f>SUM(I10:I14)</f>
        <v/>
      </c>
      <c r="J15" s="43">
        <f>SUM(J10:J14)</f>
        <v/>
      </c>
      <c r="K15" s="43">
        <f>SUM(K10:K14)</f>
        <v/>
      </c>
      <c r="L15" s="43">
        <f>SUM(L10:L14)</f>
        <v/>
      </c>
      <c r="M15" s="43">
        <f>SUM(M10:M14)</f>
        <v/>
      </c>
      <c r="N15" s="43">
        <f>SUM(N10:N14)</f>
        <v/>
      </c>
      <c r="O15" s="42">
        <f>SUM(C15:N15)</f>
        <v/>
      </c>
      <c r="P15" s="42">
        <f>SUM(P10:P14)</f>
        <v/>
      </c>
      <c r="Q15" s="42">
        <f>IF(OR(O15="",P15=""),"",O15-P15)</f>
        <v/>
      </c>
      <c r="R15" s="46">
        <f>IF(OR(P15="",P15=0,O15=""),"",(O15-P15)/P15)</f>
        <v/>
      </c>
    </row>
    <row r="16" ht="18" customHeight="1">
      <c r="B16" s="40" t="inlineStr">
        <is>
          <t>NÁKLADY NA PREDAJ</t>
        </is>
      </c>
    </row>
    <row r="17" ht="16" customHeight="1">
      <c r="B17" s="20" t="inlineStr">
        <is>
          <t>Tlač, albumy a fotoprodukty</t>
        </is>
      </c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2">
        <f>SUM(C17:N17)</f>
        <v/>
      </c>
      <c r="P17" s="41" t="n"/>
      <c r="Q17" s="43">
        <f>IF(OR(O17="",P17=""),"",O17-P17)</f>
        <v/>
      </c>
      <c r="R17" s="44">
        <f>IF(OR(P17="",P17=0,O17=""),"",(O17-P17)/P17)</f>
        <v/>
      </c>
    </row>
    <row r="18" ht="16" customHeight="1">
      <c r="B18" s="20" t="inlineStr">
        <is>
          <t>Subdodávky (druhý fotograf, asistent, vizážista)</t>
        </is>
      </c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2">
        <f>SUM(C18:N18)</f>
        <v/>
      </c>
      <c r="P18" s="41" t="n"/>
      <c r="Q18" s="43">
        <f>IF(OR(O18="",P18=""),"",O18-P18)</f>
        <v/>
      </c>
      <c r="R18" s="44">
        <f>IF(OR(P18="",P18=0,O18=""),"",(O18-P18)/P18)</f>
        <v/>
      </c>
    </row>
    <row r="19" ht="16" customHeight="1">
      <c r="B19" s="45" t="inlineStr">
        <is>
          <t>Náklady spolu</t>
        </is>
      </c>
      <c r="C19" s="43">
        <f>SUM(C17:C18)</f>
        <v/>
      </c>
      <c r="D19" s="43">
        <f>SUM(D17:D18)</f>
        <v/>
      </c>
      <c r="E19" s="43">
        <f>SUM(E17:E18)</f>
        <v/>
      </c>
      <c r="F19" s="43">
        <f>SUM(F17:F18)</f>
        <v/>
      </c>
      <c r="G19" s="43">
        <f>SUM(G17:G18)</f>
        <v/>
      </c>
      <c r="H19" s="43">
        <f>SUM(H17:H18)</f>
        <v/>
      </c>
      <c r="I19" s="43">
        <f>SUM(I17:I18)</f>
        <v/>
      </c>
      <c r="J19" s="43">
        <f>SUM(J17:J18)</f>
        <v/>
      </c>
      <c r="K19" s="43">
        <f>SUM(K17:K18)</f>
        <v/>
      </c>
      <c r="L19" s="43">
        <f>SUM(L17:L18)</f>
        <v/>
      </c>
      <c r="M19" s="43">
        <f>SUM(M17:M18)</f>
        <v/>
      </c>
      <c r="N19" s="43">
        <f>SUM(N17:N18)</f>
        <v/>
      </c>
      <c r="O19" s="42">
        <f>SUM(C19:N19)</f>
        <v/>
      </c>
      <c r="P19" s="42">
        <f>SUM(P17:P18)</f>
        <v/>
      </c>
      <c r="Q19" s="42">
        <f>IF(OR(O19="",P19=""),"",O19-P19)</f>
        <v/>
      </c>
      <c r="R19" s="46">
        <f>IF(OR(P19="",P19=0,O19=""),"",(O19-P19)/P19)</f>
        <v/>
      </c>
    </row>
    <row r="20" ht="16" customHeight="1">
      <c r="B20" s="45" t="inlineStr">
        <is>
          <t>HRUBÁ MARŽA</t>
        </is>
      </c>
      <c r="C20" s="43">
        <f>C15-C19</f>
        <v/>
      </c>
      <c r="D20" s="43">
        <f>D15-D19</f>
        <v/>
      </c>
      <c r="E20" s="43">
        <f>E15-E19</f>
        <v/>
      </c>
      <c r="F20" s="43">
        <f>F15-F19</f>
        <v/>
      </c>
      <c r="G20" s="43">
        <f>G15-G19</f>
        <v/>
      </c>
      <c r="H20" s="43">
        <f>H15-H19</f>
        <v/>
      </c>
      <c r="I20" s="43">
        <f>I15-I19</f>
        <v/>
      </c>
      <c r="J20" s="43">
        <f>J15-J19</f>
        <v/>
      </c>
      <c r="K20" s="43">
        <f>K15-K19</f>
        <v/>
      </c>
      <c r="L20" s="43">
        <f>L15-L19</f>
        <v/>
      </c>
      <c r="M20" s="43">
        <f>M15-M19</f>
        <v/>
      </c>
      <c r="N20" s="43">
        <f>N15-N19</f>
        <v/>
      </c>
      <c r="O20" s="42">
        <f>SUM(C20:N20)</f>
        <v/>
      </c>
      <c r="P20" s="42">
        <f>P15-P19</f>
        <v/>
      </c>
      <c r="Q20" s="42">
        <f>IF(OR(O20="",P20=""),"",O20-P20)</f>
        <v/>
      </c>
      <c r="R20" s="46">
        <f>IF(OR(P20="",P20=0,O20=""),"",(O20-P20)/P20)</f>
        <v/>
      </c>
    </row>
    <row r="21" ht="18" customHeight="1">
      <c r="B21" s="40" t="inlineStr">
        <is>
          <t>RÉŽIE</t>
        </is>
      </c>
    </row>
    <row r="22" ht="16" customHeight="1">
      <c r="B22" s="20" t="inlineStr">
        <is>
          <t>Mzdy a personál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Nájom ateliéru a poplatky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Technika a software (úpravy, cloud)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20" t="inlineStr">
        <is>
          <t>Marketing</t>
        </is>
      </c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2">
        <f>SUM(C25:N25)</f>
        <v/>
      </c>
      <c r="P25" s="41" t="n"/>
      <c r="Q25" s="43">
        <f>IF(OR(O25="",P25=""),"",O25-P25)</f>
        <v/>
      </c>
      <c r="R25" s="44">
        <f>IF(OR(P25="",P25=0,O25=""),"",(O25-P25)/P25)</f>
        <v/>
      </c>
    </row>
    <row r="26" ht="16" customHeight="1">
      <c r="B26" s="20" t="inlineStr">
        <is>
          <t>Ostatné réžie</t>
        </is>
      </c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2">
        <f>SUM(C26:N26)</f>
        <v/>
      </c>
      <c r="P26" s="41" t="n"/>
      <c r="Q26" s="43">
        <f>IF(OR(O26="",P26=""),"",O26-P26)</f>
        <v/>
      </c>
      <c r="R26" s="44">
        <f>IF(OR(P26="",P26=0,O26=""),"",(O26-P26)/P26)</f>
        <v/>
      </c>
    </row>
    <row r="27" ht="16" customHeight="1">
      <c r="B27" s="45" t="inlineStr">
        <is>
          <t>Réžie spolu</t>
        </is>
      </c>
      <c r="C27" s="43">
        <f>SUM(C22:C26)</f>
        <v/>
      </c>
      <c r="D27" s="43">
        <f>SUM(D22:D26)</f>
        <v/>
      </c>
      <c r="E27" s="43">
        <f>SUM(E22:E26)</f>
        <v/>
      </c>
      <c r="F27" s="43">
        <f>SUM(F22:F26)</f>
        <v/>
      </c>
      <c r="G27" s="43">
        <f>SUM(G22:G26)</f>
        <v/>
      </c>
      <c r="H27" s="43">
        <f>SUM(H22:H26)</f>
        <v/>
      </c>
      <c r="I27" s="43">
        <f>SUM(I22:I26)</f>
        <v/>
      </c>
      <c r="J27" s="43">
        <f>SUM(J22:J26)</f>
        <v/>
      </c>
      <c r="K27" s="43">
        <f>SUM(K22:K26)</f>
        <v/>
      </c>
      <c r="L27" s="43">
        <f>SUM(L22:L26)</f>
        <v/>
      </c>
      <c r="M27" s="43">
        <f>SUM(M22:M26)</f>
        <v/>
      </c>
      <c r="N27" s="43">
        <f>SUM(N22:N26)</f>
        <v/>
      </c>
      <c r="O27" s="42">
        <f>SUM(C27:N27)</f>
        <v/>
      </c>
      <c r="P27" s="42">
        <f>SUM(P22:P26)</f>
        <v/>
      </c>
      <c r="Q27" s="42">
        <f>IF(OR(O27="",P27=""),"",O27-P27)</f>
        <v/>
      </c>
      <c r="R27" s="46">
        <f>IF(OR(P27="",P27=0,O27=""),"",(O27-P27)/P27)</f>
        <v/>
      </c>
    </row>
    <row r="28" ht="16" customHeight="1">
      <c r="B28" s="45" t="inlineStr">
        <is>
          <t>ČISTÝ ZISK</t>
        </is>
      </c>
      <c r="C28" s="43">
        <f>C20-C27</f>
        <v/>
      </c>
      <c r="D28" s="43">
        <f>D20-D27</f>
        <v/>
      </c>
      <c r="E28" s="43">
        <f>E20-E27</f>
        <v/>
      </c>
      <c r="F28" s="43">
        <f>F20-F27</f>
        <v/>
      </c>
      <c r="G28" s="43">
        <f>G20-G27</f>
        <v/>
      </c>
      <c r="H28" s="43">
        <f>H20-H27</f>
        <v/>
      </c>
      <c r="I28" s="43">
        <f>I20-I27</f>
        <v/>
      </c>
      <c r="J28" s="43">
        <f>J20-J27</f>
        <v/>
      </c>
      <c r="K28" s="43">
        <f>K20-K27</f>
        <v/>
      </c>
      <c r="L28" s="43">
        <f>L20-L27</f>
        <v/>
      </c>
      <c r="M28" s="43">
        <f>M20-M27</f>
        <v/>
      </c>
      <c r="N28" s="43">
        <f>N20-N27</f>
        <v/>
      </c>
      <c r="O28" s="42">
        <f>SUM(C28:N28)</f>
        <v/>
      </c>
      <c r="P28" s="42">
        <f>P20-P27</f>
        <v/>
      </c>
      <c r="Q28" s="42">
        <f>IF(OR(O28="",P28=""),"",O28-P28)</f>
        <v/>
      </c>
      <c r="R28" s="46">
        <f>IF(OR(P28="",P28=0,O28=""),"",(O28-P28)/P28)</f>
        <v/>
      </c>
    </row>
    <row r="29" ht="18" customHeight="1">
      <c r="B29" s="40" t="inlineStr">
        <is>
          <t>HOTOVOSŤ</t>
        </is>
      </c>
    </row>
    <row r="30">
      <c r="B30" s="20" t="inlineStr">
        <is>
          <t>Počiatočná hotovosť</t>
        </is>
      </c>
      <c r="C30" s="41" t="n"/>
      <c r="D30" s="43">
        <f>C31</f>
        <v/>
      </c>
      <c r="E30" s="43">
        <f>D31</f>
        <v/>
      </c>
      <c r="F30" s="43">
        <f>E31</f>
        <v/>
      </c>
      <c r="G30" s="43">
        <f>F31</f>
        <v/>
      </c>
      <c r="H30" s="43">
        <f>G31</f>
        <v/>
      </c>
      <c r="I30" s="43">
        <f>H31</f>
        <v/>
      </c>
      <c r="J30" s="43">
        <f>I31</f>
        <v/>
      </c>
      <c r="K30" s="43">
        <f>J31</f>
        <v/>
      </c>
      <c r="L30" s="43">
        <f>K31</f>
        <v/>
      </c>
      <c r="M30" s="43">
        <f>L31</f>
        <v/>
      </c>
      <c r="N30" s="43">
        <f>M31</f>
        <v/>
      </c>
      <c r="O30" s="43">
        <f>C30</f>
        <v/>
      </c>
    </row>
    <row r="31">
      <c r="B31" s="45" t="inlineStr">
        <is>
          <t>Koncová hotovosť</t>
        </is>
      </c>
      <c r="C31" s="42">
        <f>C30+C28</f>
        <v/>
      </c>
      <c r="D31" s="42">
        <f>D30+D28</f>
        <v/>
      </c>
      <c r="E31" s="42">
        <f>E30+E28</f>
        <v/>
      </c>
      <c r="F31" s="42">
        <f>F30+F28</f>
        <v/>
      </c>
      <c r="G31" s="42">
        <f>G30+G28</f>
        <v/>
      </c>
      <c r="H31" s="42">
        <f>H30+H28</f>
        <v/>
      </c>
      <c r="I31" s="42">
        <f>I30+I28</f>
        <v/>
      </c>
      <c r="J31" s="42">
        <f>J30+J28</f>
        <v/>
      </c>
      <c r="K31" s="42">
        <f>K30+K28</f>
        <v/>
      </c>
      <c r="L31" s="42">
        <f>L30+L28</f>
        <v/>
      </c>
      <c r="M31" s="42">
        <f>M30+M28</f>
        <v/>
      </c>
      <c r="N31" s="42">
        <f>N30+N28</f>
        <v/>
      </c>
      <c r="O31" s="42">
        <f>N31</f>
        <v/>
      </c>
    </row>
  </sheetData>
  <mergeCells count="8">
    <mergeCell ref="B9:R9"/>
    <mergeCell ref="C5:E5"/>
    <mergeCell ref="B21:R21"/>
    <mergeCell ref="B29:R29"/>
    <mergeCell ref="B7:R7"/>
    <mergeCell ref="B2:R2"/>
    <mergeCell ref="B16:R16"/>
    <mergeCell ref="B1:R1"/>
  </mergeCells>
  <conditionalFormatting sqref="Q15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20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8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31:N31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0A458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na zákazku</t>
        </is>
      </c>
    </row>
    <row r="2" ht="20" customHeight="1">
      <c r="B2" s="2" t="inlineStr">
        <is>
          <t>Náklad na balíček a marža na zákazku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Balíček / zákazka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Svadobný balíček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Portrétne fotenie (ateliér)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Rodinné fotenie (exteriér)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Firemné headshoty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Produktové foto (set)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inlineStr">
        <is>
          <t>Fotokniha / album</t>
        </is>
      </c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0A458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Kapacita</t>
        </is>
      </c>
    </row>
    <row r="2" ht="20" customHeight="1">
      <c r="B2" s="2" t="inlineStr">
        <is>
          <t>Vyťaženosť a podiel mzdových nákladov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~30 % tržieb.</t>
        </is>
      </c>
    </row>
    <row r="9" ht="30" customHeight="1">
      <c r="B9" s="15" t="inlineStr">
        <is>
          <t>Pozícia (fotograf / editor)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0.3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4E69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Faktúry zákaziek a úhrady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Faktúry zákaziek · zálohy · hotovosť · karty.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B1C28"/>
    <outlinePr summaryBelow="1" summaryRight="1"/>
    <pageSetUpPr/>
  </sheetPr>
  <dimension ref="A1:J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" customWidth="1" min="5" max="5"/>
    <col width="14.2" customWidth="1" min="6" max="6"/>
    <col width="13" customWidth="1" min="7" max="7"/>
    <col width="13" customWidth="1" min="8" max="8"/>
    <col width="13" customWidth="1" min="9" max="9"/>
    <col width="14" customWidth="1" min="10" max="10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60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Ochrana osobných údajov a súhlas (GDPR, právo na podobizeň)</t>
        </is>
      </c>
      <c r="F7" s="15" t="inlineStr">
        <is>
          <t>Zálohovanie a kybernetická bezpečnosť</t>
        </is>
      </c>
      <c r="G7" s="15" t="inlineStr">
        <is>
          <t>Bezpečná práca s technikou a osvetlením</t>
        </is>
      </c>
      <c r="H7" s="15" t="inlineStr">
        <is>
          <t>Autorské práva a licencie</t>
        </is>
      </c>
      <c r="I7" s="15" t="inlineStr">
        <is>
          <t>BOZP / prvá pomoc</t>
        </is>
      </c>
      <c r="J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25:J25"/>
    <mergeCell ref="C5:E5"/>
    <mergeCell ref="B1:J1"/>
    <mergeCell ref="B6:J6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Fotograf / fotoateliér (SK)</dc:title>
  <dcterms:created xsi:type="dcterms:W3CDTF">2026-05-31T14:55:29Z</dcterms:created>
  <dcterms:modified xsi:type="dcterms:W3CDTF">2026-05-31T14:55:30Z</dcterms:modified>
</cp:coreProperties>
</file>